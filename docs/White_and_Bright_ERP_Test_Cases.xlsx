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tructions" sheetId="2" state="visible" r:id="rId2"/>
    <sheet name="Test Cases" sheetId="3" state="visible" r:id="rId3"/>
  </sheets>
  <definedNames>
    <definedName name="_xlnm._FilterDatabase" localSheetId="2" hidden="1">'Test Cases'!$A$1:$N$215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444444"/>
      <sz val="10"/>
    </font>
    <font>
      <name val="Arial"/>
      <b val="1"/>
      <color rgb="FF023E71"/>
      <sz val="14"/>
    </font>
    <font>
      <name val="Arial"/>
      <family val="2"/>
      <color theme="1"/>
      <sz val="11"/>
      <scheme val="minor"/>
    </font>
    <font>
      <name val="Arial"/>
      <b val="1"/>
      <color rgb="FF4E9448"/>
      <sz val="12"/>
    </font>
    <font>
      <name val="Arial"/>
      <color rgb="FF444444"/>
      <sz val="11"/>
    </font>
  </fonts>
  <fills count="4">
    <fill>
      <patternFill/>
    </fill>
    <fill>
      <patternFill patternType="gray125"/>
    </fill>
    <fill>
      <patternFill patternType="solid">
        <fgColor rgb="FF023E71"/>
      </patternFill>
    </fill>
    <fill>
      <patternFill patternType="solid">
        <fgColor rgb="FFEEF3F9"/>
      </patternFill>
    </fill>
  </fills>
  <borders count="2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164" fontId="4" fillId="0" borderId="0" pivotButton="0" quotePrefix="0" xfId="0"/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White &amp; Bright Group ERP — Test Execution Summary</t>
        </is>
      </c>
    </row>
    <row r="3">
      <c r="A3" s="2" t="inlineStr">
        <is>
          <t>Total test cases</t>
        </is>
      </c>
      <c r="B3" s="2">
        <f>COUNTA('Test Cases'!A2:A215)</f>
        <v/>
      </c>
    </row>
    <row r="4">
      <c r="A4" s="2" t="inlineStr">
        <is>
          <t>Pass</t>
        </is>
      </c>
      <c r="B4" s="2">
        <f>COUNTIF('Test Cases'!K2:K215,"Pass")</f>
        <v/>
      </c>
    </row>
    <row r="5">
      <c r="A5" s="2" t="inlineStr">
        <is>
          <t>Fail</t>
        </is>
      </c>
      <c r="B5" s="2">
        <f>COUNTIF('Test Cases'!K2:K215,"Fail")</f>
        <v/>
      </c>
    </row>
    <row r="6">
      <c r="A6" s="2" t="inlineStr">
        <is>
          <t>Blocked</t>
        </is>
      </c>
      <c r="B6" s="2">
        <f>COUNTIF('Test Cases'!K2:K215,"Blocked")</f>
        <v/>
      </c>
    </row>
    <row r="7">
      <c r="A7" s="2" t="inlineStr">
        <is>
          <t>Not Run</t>
        </is>
      </c>
      <c r="B7" s="2">
        <f>COUNTIF('Test Cases'!K2:K215,"Not Run")</f>
        <v/>
      </c>
    </row>
    <row r="8">
      <c r="A8" s="2" t="inlineStr">
        <is>
          <t>N/A</t>
        </is>
      </c>
      <c r="B8" s="2">
        <f>COUNTIF('Test Cases'!K2:K215,"N/A")</f>
        <v/>
      </c>
    </row>
    <row r="9">
      <c r="A9" s="2" t="n"/>
      <c r="B9" s="2" t="n"/>
    </row>
    <row r="10">
      <c r="A10" s="2" t="inlineStr">
        <is>
          <t>% Passed</t>
        </is>
      </c>
      <c r="B10" s="3">
        <f>IF(B3=0,0,B4/B3)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White &amp; Bright Group ERP — Test Cases</t>
        </is>
      </c>
    </row>
    <row r="2">
      <c r="A2" s="5" t="inlineStr">
        <is>
          <t>How to use this workbook</t>
        </is>
      </c>
    </row>
    <row r="3">
      <c r="A3" s="6" t="inlineStr">
        <is>
          <t>1. Work through the 'Test Cases' tab. Execute each case using the Test Steps and Test Data.</t>
        </is>
      </c>
    </row>
    <row r="4">
      <c r="A4" s="6" t="inlineStr">
        <is>
          <t>2. Set the Status column (dropdown): Pass, Fail, Blocked, Not Run or N/A.</t>
        </is>
      </c>
    </row>
    <row r="5">
      <c r="A5" s="6" t="inlineStr">
        <is>
          <t>3. Record what actually happened in 'Actual Result', plus your name and the date.</t>
        </is>
      </c>
    </row>
    <row r="6">
      <c r="A6" s="6" t="inlineStr">
        <is>
          <t>4. For any Fail, log the details (screenshots/steps) for the developer.</t>
        </is>
      </c>
    </row>
    <row r="7">
      <c r="A7" s="6" t="inlineStr">
        <is>
          <t>5. The 'Summary' tab counts results automatically.</t>
        </is>
      </c>
    </row>
    <row r="8">
      <c r="A8" s="6" t="inlineStr"/>
    </row>
    <row r="9">
      <c r="A9" s="5" t="inlineStr">
        <is>
          <t>Environment</t>
        </is>
      </c>
    </row>
    <row r="10">
      <c r="A10" s="6" t="inlineStr">
        <is>
          <t>Test URL: your Railway deployment.  Admin login: admin@wandb.ae / admin123 (change after first login).</t>
        </is>
      </c>
    </row>
    <row r="11">
      <c r="A11" s="6" t="inlineStr">
        <is>
          <t>Note: 'Import ledgers (live)' requires a running Tally instance and is an integration test.</t>
        </is>
      </c>
    </row>
    <row r="12">
      <c r="A12" s="6" t="inlineStr"/>
    </row>
    <row r="13">
      <c r="A13" s="5" t="inlineStr">
        <is>
          <t>Legend — Type</t>
        </is>
      </c>
    </row>
    <row r="14">
      <c r="A14" s="6" t="inlineStr">
        <is>
          <t>Functional = normal use · Negative = invalid/edge input · Permission = access rights · Integration = external system · UI = look &amp; feel.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34" customWidth="1" min="4" max="4"/>
    <col width="12" customWidth="1" min="5" max="5"/>
    <col width="9" customWidth="1" min="6" max="6"/>
    <col width="26" customWidth="1" min="7" max="7"/>
    <col width="34" customWidth="1" min="8" max="8"/>
    <col width="20" customWidth="1" min="9" max="9"/>
    <col width="40" customWidth="1" min="10" max="10"/>
    <col width="10" customWidth="1" min="11" max="11"/>
    <col width="28" customWidth="1" min="12" max="12"/>
    <col width="12" customWidth="1" min="13" max="13"/>
    <col width="12" customWidth="1" min="14" max="14"/>
  </cols>
  <sheetData>
    <row r="1" ht="28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Screen / Area</t>
        </is>
      </c>
      <c r="D1" s="7" t="inlineStr">
        <is>
          <t>Test Scenario</t>
        </is>
      </c>
      <c r="E1" s="7" t="inlineStr">
        <is>
          <t>Type</t>
        </is>
      </c>
      <c r="F1" s="7" t="inlineStr">
        <is>
          <t>Priority</t>
        </is>
      </c>
      <c r="G1" s="7" t="inlineStr">
        <is>
          <t>Preconditions</t>
        </is>
      </c>
      <c r="H1" s="7" t="inlineStr">
        <is>
          <t>Test Steps</t>
        </is>
      </c>
      <c r="I1" s="7" t="inlineStr">
        <is>
          <t>Test Data</t>
        </is>
      </c>
      <c r="J1" s="7" t="inlineStr">
        <is>
          <t>Expected Result</t>
        </is>
      </c>
      <c r="K1" s="7" t="inlineStr">
        <is>
          <t>Status</t>
        </is>
      </c>
      <c r="L1" s="7" t="inlineStr">
        <is>
          <t>Actual Result</t>
        </is>
      </c>
      <c r="M1" s="7" t="inlineStr">
        <is>
          <t>Tester</t>
        </is>
      </c>
      <c r="N1" s="7" t="inlineStr">
        <is>
          <t>Date</t>
        </is>
      </c>
    </row>
    <row r="2">
      <c r="A2" s="8" t="inlineStr">
        <is>
          <t>TC-AUTH-001</t>
        </is>
      </c>
      <c r="B2" s="8" t="inlineStr">
        <is>
          <t>Authentication</t>
        </is>
      </c>
      <c r="C2" s="8" t="inlineStr">
        <is>
          <t>Login</t>
        </is>
      </c>
      <c r="D2" s="8" t="inlineStr">
        <is>
          <t>Valid login</t>
        </is>
      </c>
      <c r="E2" s="9" t="inlineStr">
        <is>
          <t>Functional</t>
        </is>
      </c>
      <c r="F2" s="9" t="inlineStr">
        <is>
          <t>High</t>
        </is>
      </c>
      <c r="G2" s="8" t="inlineStr">
        <is>
          <t>Active user exists</t>
        </is>
      </c>
      <c r="H2" s="8" t="inlineStr">
        <is>
          <t>1. Open the app
2. Enter valid email &amp; password
3. Click Sign in</t>
        </is>
      </c>
      <c r="I2" s="8" t="inlineStr">
        <is>
          <t>admin@wandb.ae / admin123</t>
        </is>
      </c>
      <c r="J2" s="8" t="inlineStr">
        <is>
          <t>User is signed in and lands on the Dashboard</t>
        </is>
      </c>
      <c r="K2" s="9" t="inlineStr">
        <is>
          <t>Not Run</t>
        </is>
      </c>
      <c r="L2" s="8" t="inlineStr"/>
      <c r="M2" s="8" t="inlineStr"/>
      <c r="N2" s="8" t="inlineStr"/>
    </row>
    <row r="3">
      <c r="A3" s="10" t="inlineStr">
        <is>
          <t>TC-AUTH-002</t>
        </is>
      </c>
      <c r="B3" s="10" t="inlineStr">
        <is>
          <t>Authentication</t>
        </is>
      </c>
      <c r="C3" s="10" t="inlineStr">
        <is>
          <t>Login</t>
        </is>
      </c>
      <c r="D3" s="10" t="inlineStr">
        <is>
          <t>Invalid password shows attempts left</t>
        </is>
      </c>
      <c r="E3" s="11" t="inlineStr">
        <is>
          <t>Negative</t>
        </is>
      </c>
      <c r="F3" s="11" t="inlineStr">
        <is>
          <t>High</t>
        </is>
      </c>
      <c r="G3" s="10" t="inlineStr">
        <is>
          <t>Active user exists</t>
        </is>
      </c>
      <c r="H3" s="10" t="inlineStr">
        <is>
          <t>1. Enter valid email, wrong password
2. Sign in</t>
        </is>
      </c>
      <c r="I3" s="10" t="inlineStr">
        <is>
          <t>wrong password</t>
        </is>
      </c>
      <c r="J3" s="10" t="inlineStr">
        <is>
          <t>Error: 'Invalid email or password. N attempts left before your account locks.'</t>
        </is>
      </c>
      <c r="K3" s="11" t="inlineStr">
        <is>
          <t>Not Run</t>
        </is>
      </c>
      <c r="L3" s="10" t="inlineStr"/>
      <c r="M3" s="10" t="inlineStr"/>
      <c r="N3" s="10" t="inlineStr"/>
    </row>
    <row r="4">
      <c r="A4" s="8" t="inlineStr">
        <is>
          <t>TC-AUTH-003</t>
        </is>
      </c>
      <c r="B4" s="8" t="inlineStr">
        <is>
          <t>Authentication</t>
        </is>
      </c>
      <c r="C4" s="8" t="inlineStr">
        <is>
          <t>Login</t>
        </is>
      </c>
      <c r="D4" s="8" t="inlineStr">
        <is>
          <t>Auto-lock after 3 wrong attempts</t>
        </is>
      </c>
      <c r="E4" s="9" t="inlineStr">
        <is>
          <t>Negative</t>
        </is>
      </c>
      <c r="F4" s="9" t="inlineStr">
        <is>
          <t>High</t>
        </is>
      </c>
      <c r="G4" s="8" t="inlineStr">
        <is>
          <t>Active user exists</t>
        </is>
      </c>
      <c r="H4" s="8" t="inlineStr">
        <is>
          <t>1. Enter wrong password 3 times</t>
        </is>
      </c>
      <c r="I4" s="8" t="inlineStr">
        <is>
          <t>3 wrong attempts</t>
        </is>
      </c>
      <c r="J4" s="8" t="inlineStr">
        <is>
          <t>After 3rd attempt account locks for 15 minutes; message shown</t>
        </is>
      </c>
      <c r="K4" s="9" t="inlineStr">
        <is>
          <t>Not Run</t>
        </is>
      </c>
      <c r="L4" s="8" t="inlineStr"/>
      <c r="M4" s="8" t="inlineStr"/>
      <c r="N4" s="8" t="inlineStr"/>
    </row>
    <row r="5">
      <c r="A5" s="10" t="inlineStr">
        <is>
          <t>TC-AUTH-004</t>
        </is>
      </c>
      <c r="B5" s="10" t="inlineStr">
        <is>
          <t>Authentication</t>
        </is>
      </c>
      <c r="C5" s="10" t="inlineStr">
        <is>
          <t>Login</t>
        </is>
      </c>
      <c r="D5" s="10" t="inlineStr">
        <is>
          <t>Lock blocks even correct password</t>
        </is>
      </c>
      <c r="E5" s="11" t="inlineStr">
        <is>
          <t>Negative</t>
        </is>
      </c>
      <c r="F5" s="11" t="inlineStr">
        <is>
          <t>High</t>
        </is>
      </c>
      <c r="G5" s="10" t="inlineStr">
        <is>
          <t>Account is locked</t>
        </is>
      </c>
      <c r="H5" s="10" t="inlineStr">
        <is>
          <t>1. Enter the CORRECT password while locked</t>
        </is>
      </c>
      <c r="I5" s="10" t="inlineStr">
        <is>
          <t>correct password</t>
        </is>
      </c>
      <c r="J5" s="10" t="inlineStr">
        <is>
          <t>Login refused with 'account is locked' message</t>
        </is>
      </c>
      <c r="K5" s="11" t="inlineStr">
        <is>
          <t>Not Run</t>
        </is>
      </c>
      <c r="L5" s="10" t="inlineStr"/>
      <c r="M5" s="10" t="inlineStr"/>
      <c r="N5" s="10" t="inlineStr"/>
    </row>
    <row r="6">
      <c r="A6" s="8" t="inlineStr">
        <is>
          <t>TC-AUTH-005</t>
        </is>
      </c>
      <c r="B6" s="8" t="inlineStr">
        <is>
          <t>Authentication</t>
        </is>
      </c>
      <c r="C6" s="8" t="inlineStr">
        <is>
          <t>Login</t>
        </is>
      </c>
      <c r="D6" s="8" t="inlineStr">
        <is>
          <t>Deactivated user cannot log in</t>
        </is>
      </c>
      <c r="E6" s="9" t="inlineStr">
        <is>
          <t>Negative</t>
        </is>
      </c>
      <c r="F6" s="9" t="inlineStr">
        <is>
          <t>High</t>
        </is>
      </c>
      <c r="G6" s="8" t="inlineStr">
        <is>
          <t>User set inactive</t>
        </is>
      </c>
      <c r="H6" s="8" t="inlineStr">
        <is>
          <t>1. Try to log in as a deactivated user</t>
        </is>
      </c>
      <c r="I6" s="8" t="inlineStr">
        <is>
          <t>-</t>
        </is>
      </c>
      <c r="J6" s="8" t="inlineStr">
        <is>
          <t>Login refused: account deactivated</t>
        </is>
      </c>
      <c r="K6" s="9" t="inlineStr">
        <is>
          <t>Not Run</t>
        </is>
      </c>
      <c r="L6" s="8" t="inlineStr"/>
      <c r="M6" s="8" t="inlineStr"/>
      <c r="N6" s="8" t="inlineStr"/>
    </row>
    <row r="7">
      <c r="A7" s="10" t="inlineStr">
        <is>
          <t>TC-AUTH-006</t>
        </is>
      </c>
      <c r="B7" s="10" t="inlineStr">
        <is>
          <t>Authentication</t>
        </is>
      </c>
      <c r="C7" s="10" t="inlineStr">
        <is>
          <t>Account</t>
        </is>
      </c>
      <c r="D7" s="10" t="inlineStr">
        <is>
          <t>Change own password</t>
        </is>
      </c>
      <c r="E7" s="11" t="inlineStr">
        <is>
          <t>Functional</t>
        </is>
      </c>
      <c r="F7" s="11" t="inlineStr">
        <is>
          <t>High</t>
        </is>
      </c>
      <c r="G7" s="10" t="inlineStr">
        <is>
          <t>Logged in</t>
        </is>
      </c>
      <c r="H7" s="10" t="inlineStr">
        <is>
          <t>1. Top-right menu &gt; My Account &amp; Password
2. Enter current + new (x2)
3. Save</t>
        </is>
      </c>
      <c r="I7" s="10" t="inlineStr">
        <is>
          <t>new &gt;=6 chars</t>
        </is>
      </c>
      <c r="J7" s="10" t="inlineStr">
        <is>
          <t>Password updated; success banner; last-changed date updates</t>
        </is>
      </c>
      <c r="K7" s="11" t="inlineStr">
        <is>
          <t>Not Run</t>
        </is>
      </c>
      <c r="L7" s="10" t="inlineStr"/>
      <c r="M7" s="10" t="inlineStr"/>
      <c r="N7" s="10" t="inlineStr"/>
    </row>
    <row r="8">
      <c r="A8" s="8" t="inlineStr">
        <is>
          <t>TC-AUTH-007</t>
        </is>
      </c>
      <c r="B8" s="8" t="inlineStr">
        <is>
          <t>Authentication</t>
        </is>
      </c>
      <c r="C8" s="8" t="inlineStr">
        <is>
          <t>Account</t>
        </is>
      </c>
      <c r="D8" s="8" t="inlineStr">
        <is>
          <t>Change password rejects wrong current</t>
        </is>
      </c>
      <c r="E8" s="9" t="inlineStr">
        <is>
          <t>Negative</t>
        </is>
      </c>
      <c r="F8" s="9" t="inlineStr">
        <is>
          <t>Medium</t>
        </is>
      </c>
      <c r="G8" s="8" t="inlineStr">
        <is>
          <t>Logged in</t>
        </is>
      </c>
      <c r="H8" s="8" t="inlineStr">
        <is>
          <t>1. Enter wrong current password
2. Save</t>
        </is>
      </c>
      <c r="I8" s="8" t="inlineStr">
        <is>
          <t>wrong current</t>
        </is>
      </c>
      <c r="J8" s="8" t="inlineStr">
        <is>
          <t>Error: current password is incorrect</t>
        </is>
      </c>
      <c r="K8" s="9" t="inlineStr">
        <is>
          <t>Not Run</t>
        </is>
      </c>
      <c r="L8" s="8" t="inlineStr"/>
      <c r="M8" s="8" t="inlineStr"/>
      <c r="N8" s="8" t="inlineStr"/>
    </row>
    <row r="9">
      <c r="A9" s="10" t="inlineStr">
        <is>
          <t>TC-AUTH-008</t>
        </is>
      </c>
      <c r="B9" s="10" t="inlineStr">
        <is>
          <t>Authentication</t>
        </is>
      </c>
      <c r="C9" s="10" t="inlineStr">
        <is>
          <t>Account</t>
        </is>
      </c>
      <c r="D9" s="10" t="inlineStr">
        <is>
          <t>Change password mismatch rejected</t>
        </is>
      </c>
      <c r="E9" s="11" t="inlineStr">
        <is>
          <t>Negative</t>
        </is>
      </c>
      <c r="F9" s="11" t="inlineStr">
        <is>
          <t>Medium</t>
        </is>
      </c>
      <c r="G9" s="10" t="inlineStr">
        <is>
          <t>Logged in</t>
        </is>
      </c>
      <c r="H9" s="10" t="inlineStr">
        <is>
          <t>1. New + confirm differ
2. Save</t>
        </is>
      </c>
      <c r="I9" s="10" t="inlineStr">
        <is>
          <t>mismatch</t>
        </is>
      </c>
      <c r="J9" s="10" t="inlineStr">
        <is>
          <t>Error: passwords do not match</t>
        </is>
      </c>
      <c r="K9" s="11" t="inlineStr">
        <is>
          <t>Not Run</t>
        </is>
      </c>
      <c r="L9" s="10" t="inlineStr"/>
      <c r="M9" s="10" t="inlineStr"/>
      <c r="N9" s="10" t="inlineStr"/>
    </row>
    <row r="10">
      <c r="A10" s="8" t="inlineStr">
        <is>
          <t>TC-AUTH-009</t>
        </is>
      </c>
      <c r="B10" s="8" t="inlineStr">
        <is>
          <t>Authentication</t>
        </is>
      </c>
      <c r="C10" s="8" t="inlineStr">
        <is>
          <t>Admin reset</t>
        </is>
      </c>
      <c r="D10" s="8" t="inlineStr">
        <is>
          <t>Admin resets a user password</t>
        </is>
      </c>
      <c r="E10" s="9" t="inlineStr">
        <is>
          <t>Functional</t>
        </is>
      </c>
      <c r="F10" s="9" t="inlineStr">
        <is>
          <t>High</t>
        </is>
      </c>
      <c r="G10" s="8" t="inlineStr">
        <is>
          <t>Admin logged in</t>
        </is>
      </c>
      <c r="H10" s="8" t="inlineStr">
        <is>
          <t>1. Users &gt; key icon on a user</t>
        </is>
      </c>
      <c r="I10" s="8" t="inlineStr">
        <is>
          <t>-</t>
        </is>
      </c>
      <c r="J10" s="8" t="inlineStr">
        <is>
          <t>Temporary password shown; user marked 'Reset pending'</t>
        </is>
      </c>
      <c r="K10" s="9" t="inlineStr">
        <is>
          <t>Not Run</t>
        </is>
      </c>
      <c r="L10" s="8" t="inlineStr"/>
      <c r="M10" s="8" t="inlineStr"/>
      <c r="N10" s="8" t="inlineStr"/>
    </row>
    <row r="11">
      <c r="A11" s="10" t="inlineStr">
        <is>
          <t>TC-AUTH-010</t>
        </is>
      </c>
      <c r="B11" s="10" t="inlineStr">
        <is>
          <t>Authentication</t>
        </is>
      </c>
      <c r="C11" s="10" t="inlineStr">
        <is>
          <t>Admin reset</t>
        </is>
      </c>
      <c r="D11" s="10" t="inlineStr">
        <is>
          <t>Forced change on next login</t>
        </is>
      </c>
      <c r="E11" s="11" t="inlineStr">
        <is>
          <t>Functional</t>
        </is>
      </c>
      <c r="F11" s="11" t="inlineStr">
        <is>
          <t>High</t>
        </is>
      </c>
      <c r="G11" s="10" t="inlineStr">
        <is>
          <t>User has reset pending</t>
        </is>
      </c>
      <c r="H11" s="10" t="inlineStr">
        <is>
          <t>1. Log in with temp password</t>
        </is>
      </c>
      <c r="I11" s="10" t="inlineStr">
        <is>
          <t>temp password</t>
        </is>
      </c>
      <c r="J11" s="10" t="inlineStr">
        <is>
          <t>User is redirected to My Account and must set a new password before continuing</t>
        </is>
      </c>
      <c r="K11" s="11" t="inlineStr">
        <is>
          <t>Not Run</t>
        </is>
      </c>
      <c r="L11" s="10" t="inlineStr"/>
      <c r="M11" s="10" t="inlineStr"/>
      <c r="N11" s="10" t="inlineStr"/>
    </row>
    <row r="12">
      <c r="A12" s="8" t="inlineStr">
        <is>
          <t>TC-AUTH-011</t>
        </is>
      </c>
      <c r="B12" s="8" t="inlineStr">
        <is>
          <t>Authentication</t>
        </is>
      </c>
      <c r="C12" s="8" t="inlineStr">
        <is>
          <t>Admin lock</t>
        </is>
      </c>
      <c r="D12" s="8" t="inlineStr">
        <is>
          <t>Lock and unlock a user</t>
        </is>
      </c>
      <c r="E12" s="9" t="inlineStr">
        <is>
          <t>Functional</t>
        </is>
      </c>
      <c r="F12" s="9" t="inlineStr">
        <is>
          <t>High</t>
        </is>
      </c>
      <c r="G12" s="8" t="inlineStr">
        <is>
          <t>Admin logged in</t>
        </is>
      </c>
      <c r="H12" s="8" t="inlineStr">
        <is>
          <t>1. Users &gt; lock icon
2. Unlock icon</t>
        </is>
      </c>
      <c r="I12" s="8" t="inlineStr">
        <is>
          <t>-</t>
        </is>
      </c>
      <c r="J12" s="8" t="inlineStr">
        <is>
          <t>User shows 'Locked' badge; unlock clears it and resets attempt counter</t>
        </is>
      </c>
      <c r="K12" s="9" t="inlineStr">
        <is>
          <t>Not Run</t>
        </is>
      </c>
      <c r="L12" s="8" t="inlineStr"/>
      <c r="M12" s="8" t="inlineStr"/>
      <c r="N12" s="8" t="inlineStr"/>
    </row>
    <row r="13">
      <c r="A13" s="10" t="inlineStr">
        <is>
          <t>TC-AUTH-012</t>
        </is>
      </c>
      <c r="B13" s="10" t="inlineStr">
        <is>
          <t>Authentication</t>
        </is>
      </c>
      <c r="C13" s="10" t="inlineStr">
        <is>
          <t>Security alert</t>
        </is>
      </c>
      <c r="D13" s="10" t="inlineStr">
        <is>
          <t>Admins notified on auto-lock</t>
        </is>
      </c>
      <c r="E13" s="11" t="inlineStr">
        <is>
          <t>Functional</t>
        </is>
      </c>
      <c r="F13" s="11" t="inlineStr">
        <is>
          <t>Medium</t>
        </is>
      </c>
      <c r="G13" s="10" t="inlineStr">
        <is>
          <t>A user auto-locks</t>
        </is>
      </c>
      <c r="H13" s="10" t="inlineStr">
        <is>
          <t>1. Trigger a lockout
2. Log in as admin &gt; Notifications</t>
        </is>
      </c>
      <c r="I13" s="10" t="inlineStr">
        <is>
          <t>-</t>
        </is>
      </c>
      <c r="J13" s="10" t="inlineStr">
        <is>
          <t>Notification: 'Security alert: &lt;user&gt; locked out' linking to Users</t>
        </is>
      </c>
      <c r="K13" s="11" t="inlineStr">
        <is>
          <t>Not Run</t>
        </is>
      </c>
      <c r="L13" s="10" t="inlineStr"/>
      <c r="M13" s="10" t="inlineStr"/>
      <c r="N13" s="10" t="inlineStr"/>
    </row>
    <row r="14">
      <c r="A14" s="8" t="inlineStr">
        <is>
          <t>TC-AUTH-013</t>
        </is>
      </c>
      <c r="B14" s="8" t="inlineStr">
        <is>
          <t>Authentication</t>
        </is>
      </c>
      <c r="C14" s="8" t="inlineStr">
        <is>
          <t>Session</t>
        </is>
      </c>
      <c r="D14" s="8" t="inlineStr">
        <is>
          <t>Logout</t>
        </is>
      </c>
      <c r="E14" s="9" t="inlineStr">
        <is>
          <t>Functional</t>
        </is>
      </c>
      <c r="F14" s="9" t="inlineStr">
        <is>
          <t>Medium</t>
        </is>
      </c>
      <c r="G14" s="8" t="inlineStr">
        <is>
          <t>Logged in</t>
        </is>
      </c>
      <c r="H14" s="8" t="inlineStr">
        <is>
          <t>1. Top-right menu &gt; Sign out</t>
        </is>
      </c>
      <c r="I14" s="8" t="inlineStr">
        <is>
          <t>-</t>
        </is>
      </c>
      <c r="J14" s="8" t="inlineStr">
        <is>
          <t>Session ends; redirected to login; protected pages redirect to login</t>
        </is>
      </c>
      <c r="K14" s="9" t="inlineStr">
        <is>
          <t>Not Run</t>
        </is>
      </c>
      <c r="L14" s="8" t="inlineStr"/>
      <c r="M14" s="8" t="inlineStr"/>
      <c r="N14" s="8" t="inlineStr"/>
    </row>
    <row r="15">
      <c r="A15" s="10" t="inlineStr">
        <is>
          <t>TC-RBAC-001</t>
        </is>
      </c>
      <c r="B15" s="10" t="inlineStr">
        <is>
          <t>Access Control</t>
        </is>
      </c>
      <c r="C15" s="10" t="inlineStr">
        <is>
          <t>Roles</t>
        </is>
      </c>
      <c r="D15" s="10" t="inlineStr">
        <is>
          <t>Admin has full access</t>
        </is>
      </c>
      <c r="E15" s="11" t="inlineStr">
        <is>
          <t>Functional</t>
        </is>
      </c>
      <c r="F15" s="11" t="inlineStr">
        <is>
          <t>High</t>
        </is>
      </c>
      <c r="G15" s="10" t="inlineStr">
        <is>
          <t>Group Admin</t>
        </is>
      </c>
      <c r="H15" s="10" t="inlineStr">
        <is>
          <t>1. Log in as admin
2. Check sidebar &amp; tabs</t>
        </is>
      </c>
      <c r="I15" s="10" t="inlineStr">
        <is>
          <t>-</t>
        </is>
      </c>
      <c r="J15" s="10" t="inlineStr">
        <is>
          <t>All modules and all screens/tabs visible</t>
        </is>
      </c>
      <c r="K15" s="11" t="inlineStr">
        <is>
          <t>Not Run</t>
        </is>
      </c>
      <c r="L15" s="10" t="inlineStr"/>
      <c r="M15" s="10" t="inlineStr"/>
      <c r="N15" s="10" t="inlineStr"/>
    </row>
    <row r="16">
      <c r="A16" s="8" t="inlineStr">
        <is>
          <t>TC-RBAC-002</t>
        </is>
      </c>
      <c r="B16" s="8" t="inlineStr">
        <is>
          <t>Access Control</t>
        </is>
      </c>
      <c r="C16" s="8" t="inlineStr">
        <is>
          <t>Roles</t>
        </is>
      </c>
      <c r="D16" s="8" t="inlineStr">
        <is>
          <t>Grant a single screen to a role</t>
        </is>
      </c>
      <c r="E16" s="9" t="inlineStr">
        <is>
          <t>Functional</t>
        </is>
      </c>
      <c r="F16" s="9" t="inlineStr">
        <is>
          <t>High</t>
        </is>
      </c>
      <c r="G16" s="8" t="inlineStr">
        <is>
          <t>Admin</t>
        </is>
      </c>
      <c r="H16" s="8" t="inlineStr">
        <is>
          <t>1. Access Control &gt; expand a module
2. Tick View on one screen</t>
        </is>
      </c>
      <c r="I16" s="8" t="inlineStr">
        <is>
          <t>-</t>
        </is>
      </c>
      <c r="J16" s="8" t="inlineStr">
        <is>
          <t>Only that screen is granted; module badge shows 'N/N screens'</t>
        </is>
      </c>
      <c r="K16" s="9" t="inlineStr">
        <is>
          <t>Not Run</t>
        </is>
      </c>
      <c r="L16" s="8" t="inlineStr"/>
      <c r="M16" s="8" t="inlineStr"/>
      <c r="N16" s="8" t="inlineStr"/>
    </row>
    <row r="17">
      <c r="A17" s="10" t="inlineStr">
        <is>
          <t>TC-RBAC-003</t>
        </is>
      </c>
      <c r="B17" s="10" t="inlineStr">
        <is>
          <t>Access Control</t>
        </is>
      </c>
      <c r="C17" s="10" t="inlineStr">
        <is>
          <t>Roles</t>
        </is>
      </c>
      <c r="D17" s="10" t="inlineStr">
        <is>
          <t>Module 'all screens' bulk toggle</t>
        </is>
      </c>
      <c r="E17" s="11" t="inlineStr">
        <is>
          <t>Functional</t>
        </is>
      </c>
      <c r="F17" s="11" t="inlineStr">
        <is>
          <t>Medium</t>
        </is>
      </c>
      <c r="G17" s="10" t="inlineStr">
        <is>
          <t>Admin</t>
        </is>
      </c>
      <c r="H17" s="10" t="inlineStr">
        <is>
          <t>1. Access Control &gt; module header &gt; tick View</t>
        </is>
      </c>
      <c r="I17" s="10" t="inlineStr">
        <is>
          <t>-</t>
        </is>
      </c>
      <c r="J17" s="10" t="inlineStr">
        <is>
          <t>All screens in the module get View; badge shows 'Full module'</t>
        </is>
      </c>
      <c r="K17" s="11" t="inlineStr">
        <is>
          <t>Not Run</t>
        </is>
      </c>
      <c r="L17" s="10" t="inlineStr"/>
      <c r="M17" s="10" t="inlineStr"/>
      <c r="N17" s="10" t="inlineStr"/>
    </row>
    <row r="18">
      <c r="A18" s="8" t="inlineStr">
        <is>
          <t>TC-RBAC-004</t>
        </is>
      </c>
      <c r="B18" s="8" t="inlineStr">
        <is>
          <t>Access Control</t>
        </is>
      </c>
      <c r="C18" s="8" t="inlineStr">
        <is>
          <t>Nav filtering</t>
        </is>
      </c>
      <c r="D18" s="8" t="inlineStr">
        <is>
          <t>Restricted user sees only allowed modules</t>
        </is>
      </c>
      <c r="E18" s="9" t="inlineStr">
        <is>
          <t>Functional</t>
        </is>
      </c>
      <c r="F18" s="9" t="inlineStr">
        <is>
          <t>High</t>
        </is>
      </c>
      <c r="G18" s="8" t="inlineStr">
        <is>
          <t>User with 1 screen only</t>
        </is>
      </c>
      <c r="H18" s="8" t="inlineStr">
        <is>
          <t>1. Log in as restricted user</t>
        </is>
      </c>
      <c r="I18" s="8" t="inlineStr">
        <is>
          <t>Site Timekeeper (hr.attendance only)</t>
        </is>
      </c>
      <c r="J18" s="8" t="inlineStr">
        <is>
          <t>Sidebar shows only the allowed module</t>
        </is>
      </c>
      <c r="K18" s="9" t="inlineStr">
        <is>
          <t>Not Run</t>
        </is>
      </c>
      <c r="L18" s="8" t="inlineStr"/>
      <c r="M18" s="8" t="inlineStr"/>
      <c r="N18" s="8" t="inlineStr"/>
    </row>
    <row r="19">
      <c r="A19" s="10" t="inlineStr">
        <is>
          <t>TC-RBAC-005</t>
        </is>
      </c>
      <c r="B19" s="10" t="inlineStr">
        <is>
          <t>Access Control</t>
        </is>
      </c>
      <c r="C19" s="10" t="inlineStr">
        <is>
          <t>Landing</t>
        </is>
      </c>
      <c r="D19" s="10" t="inlineStr">
        <is>
          <t>Module lands on first allowed screen</t>
        </is>
      </c>
      <c r="E19" s="11" t="inlineStr">
        <is>
          <t>Functional</t>
        </is>
      </c>
      <c r="F19" s="11" t="inlineStr">
        <is>
          <t>Medium</t>
        </is>
      </c>
      <c r="G19" s="10" t="inlineStr">
        <is>
          <t>User lacks module's default screen</t>
        </is>
      </c>
      <c r="H19" s="10" t="inlineStr">
        <is>
          <t>1. Click the module in the sidebar</t>
        </is>
      </c>
      <c r="I19" s="10" t="inlineStr">
        <is>
          <t>-</t>
        </is>
      </c>
      <c r="J19" s="10" t="inlineStr">
        <is>
          <t>Opens the first screen the user can access, not the default</t>
        </is>
      </c>
      <c r="K19" s="11" t="inlineStr">
        <is>
          <t>Not Run</t>
        </is>
      </c>
      <c r="L19" s="10" t="inlineStr"/>
      <c r="M19" s="10" t="inlineStr"/>
      <c r="N19" s="10" t="inlineStr"/>
    </row>
    <row r="20">
      <c r="A20" s="8" t="inlineStr">
        <is>
          <t>TC-RBAC-006</t>
        </is>
      </c>
      <c r="B20" s="8" t="inlineStr">
        <is>
          <t>Access Control</t>
        </is>
      </c>
      <c r="C20" s="8" t="inlineStr">
        <is>
          <t>Tab filtering</t>
        </is>
      </c>
      <c r="D20" s="8" t="inlineStr">
        <is>
          <t>Only permitted sub-tabs shown</t>
        </is>
      </c>
      <c r="E20" s="9" t="inlineStr">
        <is>
          <t>Functional</t>
        </is>
      </c>
      <c r="F20" s="9" t="inlineStr">
        <is>
          <t>High</t>
        </is>
      </c>
      <c r="G20" s="8" t="inlineStr">
        <is>
          <t>Restricted user</t>
        </is>
      </c>
      <c r="H20" s="8" t="inlineStr">
        <is>
          <t>1. Open a module they partly access</t>
        </is>
      </c>
      <c r="I20" s="8" t="inlineStr">
        <is>
          <t>-</t>
        </is>
      </c>
      <c r="J20" s="8" t="inlineStr">
        <is>
          <t>Only permitted tabs appear</t>
        </is>
      </c>
      <c r="K20" s="9" t="inlineStr">
        <is>
          <t>Not Run</t>
        </is>
      </c>
      <c r="L20" s="8" t="inlineStr"/>
      <c r="M20" s="8" t="inlineStr"/>
      <c r="N20" s="8" t="inlineStr"/>
    </row>
    <row r="21">
      <c r="A21" s="10" t="inlineStr">
        <is>
          <t>TC-RBAC-007</t>
        </is>
      </c>
      <c r="B21" s="10" t="inlineStr">
        <is>
          <t>Access Control</t>
        </is>
      </c>
      <c r="C21" s="10" t="inlineStr">
        <is>
          <t>Enforcement</t>
        </is>
      </c>
      <c r="D21" s="10" t="inlineStr">
        <is>
          <t>Direct URL to forbidden screen blocked</t>
        </is>
      </c>
      <c r="E21" s="11" t="inlineStr">
        <is>
          <t>Negative</t>
        </is>
      </c>
      <c r="F21" s="11" t="inlineStr">
        <is>
          <t>High</t>
        </is>
      </c>
      <c r="G21" s="10" t="inlineStr">
        <is>
          <t>Restricted user</t>
        </is>
      </c>
      <c r="H21" s="10" t="inlineStr">
        <is>
          <t>1. Type a forbidden screen URL</t>
        </is>
      </c>
      <c r="I21" s="10" t="inlineStr">
        <is>
          <t>/hr/payroll as timekeeper</t>
        </is>
      </c>
      <c r="J21" s="10" t="inlineStr">
        <is>
          <t>Redirected to Dashboard (access denied)</t>
        </is>
      </c>
      <c r="K21" s="11" t="inlineStr">
        <is>
          <t>Not Run</t>
        </is>
      </c>
      <c r="L21" s="10" t="inlineStr"/>
      <c r="M21" s="10" t="inlineStr"/>
      <c r="N21" s="10" t="inlineStr"/>
    </row>
    <row r="22">
      <c r="A22" s="8" t="inlineStr">
        <is>
          <t>TC-RBAC-008</t>
        </is>
      </c>
      <c r="B22" s="8" t="inlineStr">
        <is>
          <t>Access Control</t>
        </is>
      </c>
      <c r="C22" s="8" t="inlineStr">
        <is>
          <t>Enforcement</t>
        </is>
      </c>
      <c r="D22" s="8" t="inlineStr">
        <is>
          <t>Direct URL to an employee profile blocked</t>
        </is>
      </c>
      <c r="E22" s="9" t="inlineStr">
        <is>
          <t>Negative</t>
        </is>
      </c>
      <c r="F22" s="9" t="inlineStr">
        <is>
          <t>High</t>
        </is>
      </c>
      <c r="G22" s="8" t="inlineStr">
        <is>
          <t>User without hr.employees</t>
        </is>
      </c>
      <c r="H22" s="8" t="inlineStr">
        <is>
          <t>1. Sign in as Site Timekeeper
2. Paste /hr/employees/&lt;id&gt; in the address bar</t>
        </is>
      </c>
      <c r="I22" s="8" t="inlineStr">
        <is>
          <t>timekeeper (attendance only)</t>
        </is>
      </c>
      <c r="J22" s="8" t="inlineStr">
        <is>
          <t>Redirected to Dashboard; no salary, Emirates ID, passport or IBAN appears in the page</t>
        </is>
      </c>
      <c r="K22" s="9" t="inlineStr">
        <is>
          <t>Not Run</t>
        </is>
      </c>
      <c r="L22" s="8" t="inlineStr"/>
      <c r="M22" s="8" t="inlineStr"/>
      <c r="N22" s="8" t="inlineStr"/>
    </row>
    <row r="23">
      <c r="A23" s="10" t="inlineStr">
        <is>
          <t>TC-RBAC-009</t>
        </is>
      </c>
      <c r="B23" s="10" t="inlineStr">
        <is>
          <t>Access Control</t>
        </is>
      </c>
      <c r="C23" s="10" t="inlineStr">
        <is>
          <t>Enforcement</t>
        </is>
      </c>
      <c r="D23" s="10" t="inlineStr">
        <is>
          <t>Document download blocked</t>
        </is>
      </c>
      <c r="E23" s="11" t="inlineStr">
        <is>
          <t>Negative</t>
        </is>
      </c>
      <c r="F23" s="11" t="inlineStr">
        <is>
          <t>High</t>
        </is>
      </c>
      <c r="G23" s="10" t="inlineStr">
        <is>
          <t>User without hr.employees</t>
        </is>
      </c>
      <c r="H23" s="10" t="inlineStr">
        <is>
          <t>1. Request /api/documents/&lt;id&gt; directly</t>
        </is>
      </c>
      <c r="I23" s="10" t="inlineStr">
        <is>
          <t>timekeeper</t>
        </is>
      </c>
      <c r="J23" s="10" t="inlineStr">
        <is>
          <t>403 Forbidden; the file is not returned</t>
        </is>
      </c>
      <c r="K23" s="11" t="inlineStr">
        <is>
          <t>Not Run</t>
        </is>
      </c>
      <c r="L23" s="10" t="inlineStr"/>
      <c r="M23" s="10" t="inlineStr"/>
      <c r="N23" s="10" t="inlineStr"/>
    </row>
    <row r="24">
      <c r="A24" s="8" t="inlineStr">
        <is>
          <t>TC-RBAC-010</t>
        </is>
      </c>
      <c r="B24" s="8" t="inlineStr">
        <is>
          <t>Access Control</t>
        </is>
      </c>
      <c r="C24" s="8" t="inlineStr">
        <is>
          <t>Enforcement</t>
        </is>
      </c>
      <c r="D24" s="8" t="inlineStr">
        <is>
          <t>Settlement statement blocked</t>
        </is>
      </c>
      <c r="E24" s="9" t="inlineStr">
        <is>
          <t>Negative</t>
        </is>
      </c>
      <c r="F24" s="9" t="inlineStr">
        <is>
          <t>High</t>
        </is>
      </c>
      <c r="G24" s="8" t="inlineStr">
        <is>
          <t>User without hr.separation</t>
        </is>
      </c>
      <c r="H24" s="8" t="inlineStr">
        <is>
          <t>1. Paste /statement/&lt;id&gt; in the address bar</t>
        </is>
      </c>
      <c r="I24" s="8" t="inlineStr">
        <is>
          <t>timekeeper</t>
        </is>
      </c>
      <c r="J24" s="8" t="inlineStr">
        <is>
          <t>Redirected to Dashboard; settlement figures are not shown</t>
        </is>
      </c>
      <c r="K24" s="9" t="inlineStr">
        <is>
          <t>Not Run</t>
        </is>
      </c>
      <c r="L24" s="8" t="inlineStr"/>
      <c r="M24" s="8" t="inlineStr"/>
      <c r="N24" s="8" t="inlineStr"/>
    </row>
    <row r="25">
      <c r="A25" s="10" t="inlineStr">
        <is>
          <t>TC-RBAC-011</t>
        </is>
      </c>
      <c r="B25" s="10" t="inlineStr">
        <is>
          <t>Access Control</t>
        </is>
      </c>
      <c r="C25" s="10" t="inlineStr">
        <is>
          <t>Enforcement</t>
        </is>
      </c>
      <c r="D25" s="10" t="inlineStr">
        <is>
          <t>Cross-company record is not reachable</t>
        </is>
      </c>
      <c r="E25" s="11" t="inlineStr">
        <is>
          <t>Negative</t>
        </is>
      </c>
      <c r="F25" s="11" t="inlineStr">
        <is>
          <t>High</t>
        </is>
      </c>
      <c r="G25" s="10" t="inlineStr">
        <is>
          <t>User scoped to one company</t>
        </is>
      </c>
      <c r="H25" s="10" t="inlineStr">
        <is>
          <t>1. Open a record belonging to another company by URL</t>
        </is>
      </c>
      <c r="I25" s="10" t="inlineStr">
        <is>
          <t>WBE user, WBTS record</t>
        </is>
      </c>
      <c r="J25" s="10" t="inlineStr">
        <is>
          <t>Not found; no data from the other company is exposed</t>
        </is>
      </c>
      <c r="K25" s="11" t="inlineStr">
        <is>
          <t>Not Run</t>
        </is>
      </c>
      <c r="L25" s="10" t="inlineStr"/>
      <c r="M25" s="10" t="inlineStr"/>
      <c r="N25" s="10" t="inlineStr"/>
    </row>
    <row r="26">
      <c r="A26" s="8" t="inlineStr">
        <is>
          <t>TC-RBAC-012</t>
        </is>
      </c>
      <c r="B26" s="8" t="inlineStr">
        <is>
          <t>Access Control</t>
        </is>
      </c>
      <c r="C26" s="8" t="inlineStr">
        <is>
          <t>Enforcement</t>
        </is>
      </c>
      <c r="D26" s="8" t="inlineStr">
        <is>
          <t>Forged or missing session rejected</t>
        </is>
      </c>
      <c r="E26" s="9" t="inlineStr">
        <is>
          <t>Negative</t>
        </is>
      </c>
      <c r="F26" s="9" t="inlineStr">
        <is>
          <t>High</t>
        </is>
      </c>
      <c r="G26" s="8" t="inlineStr">
        <is>
          <t>-</t>
        </is>
      </c>
      <c r="H26" s="8" t="inlineStr">
        <is>
          <t>1. Clear cookies and open a protected page
2. Retry with an invalid session cookie</t>
        </is>
      </c>
      <c r="I26" s="8" t="inlineStr">
        <is>
          <t>-</t>
        </is>
      </c>
      <c r="J26" s="8" t="inlineStr">
        <is>
          <t>Both attempts redirect to the login page</t>
        </is>
      </c>
      <c r="K26" s="9" t="inlineStr">
        <is>
          <t>Not Run</t>
        </is>
      </c>
      <c r="L26" s="8" t="inlineStr"/>
      <c r="M26" s="8" t="inlineStr"/>
      <c r="N26" s="8" t="inlineStr"/>
    </row>
    <row r="27">
      <c r="A27" s="10" t="inlineStr">
        <is>
          <t>TC-RBAC-013</t>
        </is>
      </c>
      <c r="B27" s="10" t="inlineStr">
        <is>
          <t>Access Control</t>
        </is>
      </c>
      <c r="C27" s="10" t="inlineStr">
        <is>
          <t>Actions</t>
        </is>
      </c>
      <c r="D27" s="10" t="inlineStr">
        <is>
          <t>View-only role sees no delete button</t>
        </is>
      </c>
      <c r="E27" s="11" t="inlineStr">
        <is>
          <t>Functional</t>
        </is>
      </c>
      <c r="F27" s="11" t="inlineStr">
        <is>
          <t>High</t>
        </is>
      </c>
      <c r="G27" s="10" t="inlineStr">
        <is>
          <t>Role with View but not Delete</t>
        </is>
      </c>
      <c r="H27" s="10" t="inlineStr">
        <is>
          <t>1. Log in as Project Manager
2. Open HR &gt; Employees</t>
        </is>
      </c>
      <c r="I27" s="10" t="inlineStr">
        <is>
          <t>-</t>
        </is>
      </c>
      <c r="J27" s="10" t="inlineStr">
        <is>
          <t>Employee rows show no delete control; an admin on the same screen does see it</t>
        </is>
      </c>
      <c r="K27" s="11" t="inlineStr">
        <is>
          <t>Not Run</t>
        </is>
      </c>
      <c r="L27" s="10" t="inlineStr"/>
      <c r="M27" s="10" t="inlineStr"/>
      <c r="N27" s="10" t="inlineStr"/>
    </row>
    <row r="28">
      <c r="A28" s="8" t="inlineStr">
        <is>
          <t>TC-RBAC-014</t>
        </is>
      </c>
      <c r="B28" s="8" t="inlineStr">
        <is>
          <t>Access Control</t>
        </is>
      </c>
      <c r="C28" s="8" t="inlineStr">
        <is>
          <t>Actions</t>
        </is>
      </c>
      <c r="D28" s="8" t="inlineStr">
        <is>
          <t>View-only role cannot delete via the action</t>
        </is>
      </c>
      <c r="E28" s="9" t="inlineStr">
        <is>
          <t>Negative</t>
        </is>
      </c>
      <c r="F28" s="9" t="inlineStr">
        <is>
          <t>High</t>
        </is>
      </c>
      <c r="G28" s="8" t="inlineStr">
        <is>
          <t>Role with View but not Delete</t>
        </is>
      </c>
      <c r="H28" s="8" t="inlineStr">
        <is>
          <t>1. Attempt the delete action for that screen</t>
        </is>
      </c>
      <c r="I28" s="8" t="inlineStr">
        <is>
          <t>-</t>
        </is>
      </c>
      <c r="J28" s="8" t="inlineStr">
        <is>
          <t>Refused with 'Not authorised'; the record still exists</t>
        </is>
      </c>
      <c r="K28" s="9" t="inlineStr">
        <is>
          <t>Not Run</t>
        </is>
      </c>
      <c r="L28" s="8" t="inlineStr"/>
      <c r="M28" s="8" t="inlineStr"/>
      <c r="N28" s="8" t="inlineStr"/>
    </row>
    <row r="29">
      <c r="A29" s="10" t="inlineStr">
        <is>
          <t>TC-RBAC-015</t>
        </is>
      </c>
      <c r="B29" s="10" t="inlineStr">
        <is>
          <t>Access Control</t>
        </is>
      </c>
      <c r="C29" s="10" t="inlineStr">
        <is>
          <t>Actions</t>
        </is>
      </c>
      <c r="D29" s="10" t="inlineStr">
        <is>
          <t>Approve is separate from Edit</t>
        </is>
      </c>
      <c r="E29" s="11" t="inlineStr">
        <is>
          <t>Functional</t>
        </is>
      </c>
      <c r="F29" s="11" t="inlineStr">
        <is>
          <t>Medium</t>
        </is>
      </c>
      <c r="G29" s="10" t="inlineStr">
        <is>
          <t>Role with Edit but not Approve</t>
        </is>
      </c>
      <c r="H29" s="10" t="inlineStr">
        <is>
          <t>1. Open leave / payroll as that role</t>
        </is>
      </c>
      <c r="I29" s="10" t="inlineStr">
        <is>
          <t>-</t>
        </is>
      </c>
      <c r="J29" s="10" t="inlineStr">
        <is>
          <t>Records can be edited but not approved</t>
        </is>
      </c>
      <c r="K29" s="11" t="inlineStr">
        <is>
          <t>Not Run</t>
        </is>
      </c>
      <c r="L29" s="10" t="inlineStr"/>
      <c r="M29" s="10" t="inlineStr"/>
      <c r="N29" s="10" t="inlineStr"/>
    </row>
    <row r="30">
      <c r="A30" s="8" t="inlineStr">
        <is>
          <t>TC-RBAC-016</t>
        </is>
      </c>
      <c r="B30" s="8" t="inlineStr">
        <is>
          <t>Access Control</t>
        </is>
      </c>
      <c r="C30" s="8" t="inlineStr">
        <is>
          <t>Actions</t>
        </is>
      </c>
      <c r="D30" s="8" t="inlineStr">
        <is>
          <t>Permitted role still works normally</t>
        </is>
      </c>
      <c r="E30" s="9" t="inlineStr">
        <is>
          <t>Functional</t>
        </is>
      </c>
      <c r="F30" s="9" t="inlineStr">
        <is>
          <t>High</t>
        </is>
      </c>
      <c r="G30" s="8" t="inlineStr">
        <is>
          <t>HR Officer (full HR rights)</t>
        </is>
      </c>
      <c r="H30" s="8" t="inlineStr">
        <is>
          <t>1. Create, edit, delete and approve an HR record</t>
        </is>
      </c>
      <c r="I30" s="8" t="inlineStr">
        <is>
          <t>-</t>
        </is>
      </c>
      <c r="J30" s="8" t="inlineStr">
        <is>
          <t>All actions succeed — tightening has not blocked legitimate work</t>
        </is>
      </c>
      <c r="K30" s="9" t="inlineStr">
        <is>
          <t>Not Run</t>
        </is>
      </c>
      <c r="L30" s="8" t="inlineStr"/>
      <c r="M30" s="8" t="inlineStr"/>
      <c r="N30" s="8" t="inlineStr"/>
    </row>
    <row r="31">
      <c r="A31" s="10" t="inlineStr">
        <is>
          <t>TC-RBAC-017</t>
        </is>
      </c>
      <c r="B31" s="10" t="inlineStr">
        <is>
          <t>Access Control</t>
        </is>
      </c>
      <c r="C31" s="10" t="inlineStr">
        <is>
          <t>Actions</t>
        </is>
      </c>
      <c r="D31" s="10" t="inlineStr">
        <is>
          <t>Raising an approval request stays open</t>
        </is>
      </c>
      <c r="E31" s="11" t="inlineStr">
        <is>
          <t>Functional</t>
        </is>
      </c>
      <c r="F31" s="11" t="inlineStr">
        <is>
          <t>Medium</t>
        </is>
      </c>
      <c r="G31" s="10" t="inlineStr">
        <is>
          <t>Role that can view the approvals inbox</t>
        </is>
      </c>
      <c r="H31" s="10" t="inlineStr">
        <is>
          <t>1. Approvals &gt; raise a request</t>
        </is>
      </c>
      <c r="I31" s="10" t="inlineStr">
        <is>
          <t>Project Manager</t>
        </is>
      </c>
      <c r="J31" s="10" t="inlineStr">
        <is>
          <t>Request is created; viewing the inbox is enough to raise one</t>
        </is>
      </c>
      <c r="K31" s="11" t="inlineStr">
        <is>
          <t>Not Run</t>
        </is>
      </c>
      <c r="L31" s="10" t="inlineStr"/>
      <c r="M31" s="10" t="inlineStr"/>
      <c r="N31" s="10" t="inlineStr"/>
    </row>
    <row r="32">
      <c r="A32" s="8" t="inlineStr">
        <is>
          <t>TC-DASH-001</t>
        </is>
      </c>
      <c r="B32" s="8" t="inlineStr">
        <is>
          <t>Dashboard</t>
        </is>
      </c>
      <c r="C32" s="8" t="inlineStr">
        <is>
          <t>KPIs</t>
        </is>
      </c>
      <c r="D32" s="8" t="inlineStr">
        <is>
          <t>KPIs compute live</t>
        </is>
      </c>
      <c r="E32" s="9" t="inlineStr">
        <is>
          <t>Functional</t>
        </is>
      </c>
      <c r="F32" s="9" t="inlineStr">
        <is>
          <t>Medium</t>
        </is>
      </c>
      <c r="G32" s="8" t="inlineStr">
        <is>
          <t>Data exists</t>
        </is>
      </c>
      <c r="H32" s="8" t="inlineStr">
        <is>
          <t>1. Open Dashboard</t>
        </is>
      </c>
      <c r="I32" s="8" t="inlineStr">
        <is>
          <t>-</t>
        </is>
      </c>
      <c r="J32" s="8" t="inlineStr">
        <is>
          <t>Revenue (YTD), Cash Position, Open Approvals, Docs expiring show real figures</t>
        </is>
      </c>
      <c r="K32" s="9" t="inlineStr">
        <is>
          <t>Not Run</t>
        </is>
      </c>
      <c r="L32" s="8" t="inlineStr"/>
      <c r="M32" s="8" t="inlineStr"/>
      <c r="N32" s="8" t="inlineStr"/>
    </row>
    <row r="33">
      <c r="A33" s="10" t="inlineStr">
        <is>
          <t>TC-DASH-002</t>
        </is>
      </c>
      <c r="B33" s="10" t="inlineStr">
        <is>
          <t>Dashboard</t>
        </is>
      </c>
      <c r="C33" s="10" t="inlineStr">
        <is>
          <t>KPIs</t>
        </is>
      </c>
      <c r="D33" s="10" t="inlineStr">
        <is>
          <t>KPIs gated by permission</t>
        </is>
      </c>
      <c r="E33" s="11" t="inlineStr">
        <is>
          <t>Functional</t>
        </is>
      </c>
      <c r="F33" s="11" t="inlineStr">
        <is>
          <t>High</t>
        </is>
      </c>
      <c r="G33" s="10" t="inlineStr">
        <is>
          <t>Restricted user</t>
        </is>
      </c>
      <c r="H33" s="10" t="inlineStr">
        <is>
          <t>1. Log in as a user without finance access
2. Open Dashboard</t>
        </is>
      </c>
      <c r="I33" s="10" t="inlineStr">
        <is>
          <t>-</t>
        </is>
      </c>
      <c r="J33" s="10" t="inlineStr">
        <is>
          <t>Finance KPI cards (Revenue/Cash) are hidden</t>
        </is>
      </c>
      <c r="K33" s="11" t="inlineStr">
        <is>
          <t>Not Run</t>
        </is>
      </c>
      <c r="L33" s="10" t="inlineStr"/>
      <c r="M33" s="10" t="inlineStr"/>
      <c r="N33" s="10" t="inlineStr"/>
    </row>
    <row r="34">
      <c r="A34" s="8" t="inlineStr">
        <is>
          <t>TC-DASH-003</t>
        </is>
      </c>
      <c r="B34" s="8" t="inlineStr">
        <is>
          <t>Dashboard</t>
        </is>
      </c>
      <c r="C34" s="8" t="inlineStr">
        <is>
          <t>Role-based</t>
        </is>
      </c>
      <c r="D34" s="8" t="inlineStr">
        <is>
          <t>Group Admin sees the Group Dashboard</t>
        </is>
      </c>
      <c r="E34" s="9" t="inlineStr">
        <is>
          <t>Functional</t>
        </is>
      </c>
      <c r="F34" s="9" t="inlineStr">
        <is>
          <t>High</t>
        </is>
      </c>
      <c r="G34" s="8" t="inlineStr">
        <is>
          <t>Group Admin</t>
        </is>
      </c>
      <c r="H34" s="8" t="inlineStr">
        <is>
          <t>1. Log in as admin
2. Open Dashboard</t>
        </is>
      </c>
      <c r="I34" s="8" t="inlineStr">
        <is>
          <t>-</t>
        </is>
      </c>
      <c r="J34" s="8" t="inlineStr">
        <is>
          <t>Title reads 'Group Dashboard'; finance, HR, approvals and companies panels all present</t>
        </is>
      </c>
      <c r="K34" s="9" t="inlineStr">
        <is>
          <t>Not Run</t>
        </is>
      </c>
      <c r="L34" s="8" t="inlineStr"/>
      <c r="M34" s="8" t="inlineStr"/>
      <c r="N34" s="8" t="inlineStr"/>
    </row>
    <row r="35">
      <c r="A35" s="10" t="inlineStr">
        <is>
          <t>TC-DASH-004</t>
        </is>
      </c>
      <c r="B35" s="10" t="inlineStr">
        <is>
          <t>Dashboard</t>
        </is>
      </c>
      <c r="C35" s="10" t="inlineStr">
        <is>
          <t>Role-based</t>
        </is>
      </c>
      <c r="D35" s="10" t="inlineStr">
        <is>
          <t>HR-only user sees an HR Dashboard</t>
        </is>
      </c>
      <c r="E35" s="11" t="inlineStr">
        <is>
          <t>Functional</t>
        </is>
      </c>
      <c r="F35" s="11" t="inlineStr">
        <is>
          <t>High</t>
        </is>
      </c>
      <c r="G35" s="10" t="inlineStr">
        <is>
          <t>User with HR screens only</t>
        </is>
      </c>
      <c r="H35" s="10" t="inlineStr">
        <is>
          <t>1. Log in as HR Officer
2. Open Dashboard</t>
        </is>
      </c>
      <c r="I35" s="10" t="inlineStr">
        <is>
          <t>-</t>
        </is>
      </c>
      <c r="J35" s="10" t="inlineStr">
        <is>
          <t>Title reads 'HR Dashboard'; headcount/leave/expiry panels shown, no finance panels</t>
        </is>
      </c>
      <c r="K35" s="11" t="inlineStr">
        <is>
          <t>Not Run</t>
        </is>
      </c>
      <c r="L35" s="10" t="inlineStr"/>
      <c r="M35" s="10" t="inlineStr"/>
      <c r="N35" s="10" t="inlineStr"/>
    </row>
    <row r="36">
      <c r="A36" s="8" t="inlineStr">
        <is>
          <t>TC-DASH-005</t>
        </is>
      </c>
      <c r="B36" s="8" t="inlineStr">
        <is>
          <t>Dashboard</t>
        </is>
      </c>
      <c r="C36" s="8" t="inlineStr">
        <is>
          <t>Role-based</t>
        </is>
      </c>
      <c r="D36" s="8" t="inlineStr">
        <is>
          <t>Finance-only user sees a Finance Dashboard</t>
        </is>
      </c>
      <c r="E36" s="9" t="inlineStr">
        <is>
          <t>Functional</t>
        </is>
      </c>
      <c r="F36" s="9" t="inlineStr">
        <is>
          <t>High</t>
        </is>
      </c>
      <c r="G36" s="8" t="inlineStr">
        <is>
          <t>User with finance screens only</t>
        </is>
      </c>
      <c r="H36" s="8" t="inlineStr">
        <is>
          <t>1. Log in as Finance/Accounts
2. Open Dashboard</t>
        </is>
      </c>
      <c r="I36" s="8" t="inlineStr">
        <is>
          <t>-</t>
        </is>
      </c>
      <c r="J36" s="8" t="inlineStr">
        <is>
          <t>Title reads 'Finance Dashboard'; no HR panels shown</t>
        </is>
      </c>
      <c r="K36" s="9" t="inlineStr">
        <is>
          <t>Not Run</t>
        </is>
      </c>
      <c r="L36" s="8" t="inlineStr"/>
      <c r="M36" s="8" t="inlineStr"/>
      <c r="N36" s="8" t="inlineStr"/>
    </row>
    <row r="37">
      <c r="A37" s="10" t="inlineStr">
        <is>
          <t>TC-DASH-006</t>
        </is>
      </c>
      <c r="B37" s="10" t="inlineStr">
        <is>
          <t>Dashboard</t>
        </is>
      </c>
      <c r="C37" s="10" t="inlineStr">
        <is>
          <t>Role-based</t>
        </is>
      </c>
      <c r="D37" s="10" t="inlineStr">
        <is>
          <t>Single-screen user gets a focused dashboard</t>
        </is>
      </c>
      <c r="E37" s="11" t="inlineStr">
        <is>
          <t>Functional</t>
        </is>
      </c>
      <c r="F37" s="11" t="inlineStr">
        <is>
          <t>Medium</t>
        </is>
      </c>
      <c r="G37" s="10" t="inlineStr">
        <is>
          <t>Site Timekeeper (attendance only)</t>
        </is>
      </c>
      <c r="H37" s="10" t="inlineStr">
        <is>
          <t>1. Log in
2. Open Dashboard</t>
        </is>
      </c>
      <c r="I37" s="10" t="inlineStr">
        <is>
          <t>-</t>
        </is>
      </c>
      <c r="J37" s="10" t="inlineStr">
        <is>
          <t>Short focused dashboard with a 'focused on your tasks' message instead of empty panels</t>
        </is>
      </c>
      <c r="K37" s="11" t="inlineStr">
        <is>
          <t>Not Run</t>
        </is>
      </c>
      <c r="L37" s="10" t="inlineStr"/>
      <c r="M37" s="10" t="inlineStr"/>
      <c r="N37" s="10" t="inlineStr"/>
    </row>
    <row r="38">
      <c r="A38" s="8" t="inlineStr">
        <is>
          <t>TC-DASH-007</t>
        </is>
      </c>
      <c r="B38" s="8" t="inlineStr">
        <is>
          <t>Dashboard</t>
        </is>
      </c>
      <c r="C38" s="8" t="inlineStr">
        <is>
          <t>Role-based</t>
        </is>
      </c>
      <c r="D38" s="8" t="inlineStr">
        <is>
          <t>Panels follow a permission change</t>
        </is>
      </c>
      <c r="E38" s="9" t="inlineStr">
        <is>
          <t>Functional</t>
        </is>
      </c>
      <c r="F38" s="9" t="inlineStr">
        <is>
          <t>Medium</t>
        </is>
      </c>
      <c r="G38" s="8" t="inlineStr">
        <is>
          <t>Admin can edit roles</t>
        </is>
      </c>
      <c r="H38" s="8" t="inlineStr">
        <is>
          <t>1. Grant the user a finance screen
2. Have them reopen the Dashboard</t>
        </is>
      </c>
      <c r="I38" s="8" t="inlineStr">
        <is>
          <t>-</t>
        </is>
      </c>
      <c r="J38" s="8" t="inlineStr">
        <is>
          <t>The matching panel now appears without any other configuration</t>
        </is>
      </c>
      <c r="K38" s="9" t="inlineStr">
        <is>
          <t>Not Run</t>
        </is>
      </c>
      <c r="L38" s="8" t="inlineStr"/>
      <c r="M38" s="8" t="inlineStr"/>
      <c r="N38" s="8" t="inlineStr"/>
    </row>
    <row r="39">
      <c r="A39" s="10" t="inlineStr">
        <is>
          <t>TC-DASH-008</t>
        </is>
      </c>
      <c r="B39" s="10" t="inlineStr">
        <is>
          <t>Dashboard</t>
        </is>
      </c>
      <c r="C39" s="10" t="inlineStr">
        <is>
          <t>Navigation</t>
        </is>
      </c>
      <c r="D39" s="10" t="inlineStr">
        <is>
          <t>KPI figures are clickable</t>
        </is>
      </c>
      <c r="E39" s="11" t="inlineStr">
        <is>
          <t>Functional</t>
        </is>
      </c>
      <c r="F39" s="11" t="inlineStr">
        <is>
          <t>Low</t>
        </is>
      </c>
      <c r="G39" s="10" t="inlineStr">
        <is>
          <t>Data exists</t>
        </is>
      </c>
      <c r="H39" s="10" t="inlineStr">
        <is>
          <t>1. Click a KPI figure</t>
        </is>
      </c>
      <c r="I39" s="10" t="inlineStr">
        <is>
          <t>-</t>
        </is>
      </c>
      <c r="J39" s="10" t="inlineStr">
        <is>
          <t>Navigates to the records behind that figure</t>
        </is>
      </c>
      <c r="K39" s="11" t="inlineStr">
        <is>
          <t>Not Run</t>
        </is>
      </c>
      <c r="L39" s="10" t="inlineStr"/>
      <c r="M39" s="10" t="inlineStr"/>
      <c r="N39" s="10" t="inlineStr"/>
    </row>
    <row r="40">
      <c r="A40" s="8" t="inlineStr">
        <is>
          <t>TC-MC-001</t>
        </is>
      </c>
      <c r="B40" s="8" t="inlineStr">
        <is>
          <t>Multi-Company</t>
        </is>
      </c>
      <c r="C40" s="8" t="inlineStr">
        <is>
          <t>Switcher</t>
        </is>
      </c>
      <c r="D40" s="8" t="inlineStr">
        <is>
          <t>Switch company</t>
        </is>
      </c>
      <c r="E40" s="9" t="inlineStr">
        <is>
          <t>Functional</t>
        </is>
      </c>
      <c r="F40" s="9" t="inlineStr">
        <is>
          <t>High</t>
        </is>
      </c>
      <c r="G40" s="8" t="inlineStr">
        <is>
          <t>&gt;1 company</t>
        </is>
      </c>
      <c r="H40" s="8" t="inlineStr">
        <is>
          <t>1. Use top-left company switcher</t>
        </is>
      </c>
      <c r="I40" s="8" t="inlineStr">
        <is>
          <t>WBE -&gt; WBTS</t>
        </is>
      </c>
      <c r="J40" s="8" t="inlineStr">
        <is>
          <t>Screen data changes to the selected company</t>
        </is>
      </c>
      <c r="K40" s="9" t="inlineStr">
        <is>
          <t>Not Run</t>
        </is>
      </c>
      <c r="L40" s="8" t="inlineStr"/>
      <c r="M40" s="8" t="inlineStr"/>
      <c r="N40" s="8" t="inlineStr"/>
    </row>
    <row r="41">
      <c r="A41" s="10" t="inlineStr">
        <is>
          <t>TC-MC-002</t>
        </is>
      </c>
      <c r="B41" s="10" t="inlineStr">
        <is>
          <t>Multi-Company</t>
        </is>
      </c>
      <c r="C41" s="10" t="inlineStr">
        <is>
          <t>Isolation</t>
        </is>
      </c>
      <c r="D41" s="10" t="inlineStr">
        <is>
          <t>Data isolated per company</t>
        </is>
      </c>
      <c r="E41" s="11" t="inlineStr">
        <is>
          <t>Functional</t>
        </is>
      </c>
      <c r="F41" s="11" t="inlineStr">
        <is>
          <t>High</t>
        </is>
      </c>
      <c r="G41" s="10" t="inlineStr">
        <is>
          <t>Data in WBE only</t>
        </is>
      </c>
      <c r="H41" s="10" t="inlineStr">
        <is>
          <t>1. Switch to a company with no data</t>
        </is>
      </c>
      <c r="I41" s="10" t="inlineStr">
        <is>
          <t>-</t>
        </is>
      </c>
      <c r="J41" s="10" t="inlineStr">
        <is>
          <t>Screens show empty state for that company</t>
        </is>
      </c>
      <c r="K41" s="11" t="inlineStr">
        <is>
          <t>Not Run</t>
        </is>
      </c>
      <c r="L41" s="10" t="inlineStr"/>
      <c r="M41" s="10" t="inlineStr"/>
      <c r="N41" s="10" t="inlineStr"/>
    </row>
    <row r="42">
      <c r="A42" s="8" t="inlineStr">
        <is>
          <t>TC-FIN-001</t>
        </is>
      </c>
      <c r="B42" s="8" t="inlineStr">
        <is>
          <t>Finance</t>
        </is>
      </c>
      <c r="C42" s="8" t="inlineStr">
        <is>
          <t>Journal</t>
        </is>
      </c>
      <c r="D42" s="8" t="inlineStr">
        <is>
          <t>Create Sales voucher with VAT</t>
        </is>
      </c>
      <c r="E42" s="9" t="inlineStr">
        <is>
          <t>Functional</t>
        </is>
      </c>
      <c r="F42" s="9" t="inlineStr">
        <is>
          <t>High</t>
        </is>
      </c>
      <c r="G42" s="8" t="inlineStr">
        <is>
          <t>Finance access, accounts exist</t>
        </is>
      </c>
      <c r="H42" s="8" t="inlineStr">
        <is>
          <t>1. Finance &gt; New journal entry
2. Type=Sales, add party+VAT
3. Balanced lines
4. Save</t>
        </is>
      </c>
      <c r="I42" s="8" t="inlineStr">
        <is>
          <t>Rev 200000, VAT 10000</t>
        </is>
      </c>
      <c r="J42" s="8" t="inlineStr">
        <is>
          <t>Voucher saved with ref SAL/...; appears in Day Book</t>
        </is>
      </c>
      <c r="K42" s="9" t="inlineStr">
        <is>
          <t>Not Run</t>
        </is>
      </c>
      <c r="L42" s="8" t="inlineStr"/>
      <c r="M42" s="8" t="inlineStr"/>
      <c r="N42" s="8" t="inlineStr"/>
    </row>
    <row r="43">
      <c r="A43" s="10" t="inlineStr">
        <is>
          <t>TC-FIN-002</t>
        </is>
      </c>
      <c r="B43" s="10" t="inlineStr">
        <is>
          <t>Finance</t>
        </is>
      </c>
      <c r="C43" s="10" t="inlineStr">
        <is>
          <t>Journal</t>
        </is>
      </c>
      <c r="D43" s="10" t="inlineStr">
        <is>
          <t>Unbalanced entry rejected</t>
        </is>
      </c>
      <c r="E43" s="11" t="inlineStr">
        <is>
          <t>Negative</t>
        </is>
      </c>
      <c r="F43" s="11" t="inlineStr">
        <is>
          <t>High</t>
        </is>
      </c>
      <c r="G43" s="10" t="inlineStr">
        <is>
          <t>Finance access</t>
        </is>
      </c>
      <c r="H43" s="10" t="inlineStr">
        <is>
          <t>1. Enter lines where Dr != Cr
2. Save</t>
        </is>
      </c>
      <c r="I43" s="10" t="inlineStr">
        <is>
          <t>Dr 100 / Cr 90</t>
        </is>
      </c>
      <c r="J43" s="10" t="inlineStr">
        <is>
          <t>Save blocked; totals must match</t>
        </is>
      </c>
      <c r="K43" s="11" t="inlineStr">
        <is>
          <t>Not Run</t>
        </is>
      </c>
      <c r="L43" s="10" t="inlineStr"/>
      <c r="M43" s="10" t="inlineStr"/>
      <c r="N43" s="10" t="inlineStr"/>
    </row>
    <row r="44">
      <c r="A44" s="8" t="inlineStr">
        <is>
          <t>TC-FIN-003</t>
        </is>
      </c>
      <c r="B44" s="8" t="inlineStr">
        <is>
          <t>Finance</t>
        </is>
      </c>
      <c r="C44" s="8" t="inlineStr">
        <is>
          <t>Journal</t>
        </is>
      </c>
      <c r="D44" s="8" t="inlineStr">
        <is>
          <t>Each voucher type prefixes ref</t>
        </is>
      </c>
      <c r="E44" s="9" t="inlineStr">
        <is>
          <t>Functional</t>
        </is>
      </c>
      <c r="F44" s="9" t="inlineStr">
        <is>
          <t>Medium</t>
        </is>
      </c>
      <c r="G44" s="8" t="inlineStr">
        <is>
          <t>Finance access</t>
        </is>
      </c>
      <c r="H44" s="8" t="inlineStr">
        <is>
          <t>1. Create Payment/Receipt/Contra/Purchase</t>
        </is>
      </c>
      <c r="I44" s="8" t="inlineStr">
        <is>
          <t>-</t>
        </is>
      </c>
      <c r="J44" s="8" t="inlineStr">
        <is>
          <t>Reference uses PAY/RCP/CTR/PUR prefix accordingly</t>
        </is>
      </c>
      <c r="K44" s="9" t="inlineStr">
        <is>
          <t>Not Run</t>
        </is>
      </c>
      <c r="L44" s="8" t="inlineStr"/>
      <c r="M44" s="8" t="inlineStr"/>
      <c r="N44" s="8" t="inlineStr"/>
    </row>
    <row r="45">
      <c r="A45" s="10" t="inlineStr">
        <is>
          <t>TC-FIN-004</t>
        </is>
      </c>
      <c r="B45" s="10" t="inlineStr">
        <is>
          <t>Finance</t>
        </is>
      </c>
      <c r="C45" s="10" t="inlineStr">
        <is>
          <t>Day Book</t>
        </is>
      </c>
      <c r="D45" s="10" t="inlineStr">
        <is>
          <t>Vouchers listed by date</t>
        </is>
      </c>
      <c r="E45" s="11" t="inlineStr">
        <is>
          <t>Functional</t>
        </is>
      </c>
      <c r="F45" s="11" t="inlineStr">
        <is>
          <t>Medium</t>
        </is>
      </c>
      <c r="G45" s="10" t="inlineStr">
        <is>
          <t>Vouchers exist</t>
        </is>
      </c>
      <c r="H45" s="10" t="inlineStr">
        <is>
          <t>1. Finance &gt; Day Book</t>
        </is>
      </c>
      <c r="I45" s="10" t="inlineStr">
        <is>
          <t>-</t>
        </is>
      </c>
      <c r="J45" s="10" t="inlineStr">
        <is>
          <t>All vouchers shown newest first with Dr/Cr particulars, party, amount</t>
        </is>
      </c>
      <c r="K45" s="11" t="inlineStr">
        <is>
          <t>Not Run</t>
        </is>
      </c>
      <c r="L45" s="10" t="inlineStr"/>
      <c r="M45" s="10" t="inlineStr"/>
      <c r="N45" s="10" t="inlineStr"/>
    </row>
    <row r="46">
      <c r="A46" s="8" t="inlineStr">
        <is>
          <t>TC-FIN-005</t>
        </is>
      </c>
      <c r="B46" s="8" t="inlineStr">
        <is>
          <t>Finance</t>
        </is>
      </c>
      <c r="C46" s="8" t="inlineStr">
        <is>
          <t>Ledgers</t>
        </is>
      </c>
      <c r="D46" s="8" t="inlineStr">
        <is>
          <t>Running balance correct</t>
        </is>
      </c>
      <c r="E46" s="9" t="inlineStr">
        <is>
          <t>Functional</t>
        </is>
      </c>
      <c r="F46" s="9" t="inlineStr">
        <is>
          <t>High</t>
        </is>
      </c>
      <c r="G46" s="8" t="inlineStr">
        <is>
          <t>Postings exist</t>
        </is>
      </c>
      <c r="H46" s="8" t="inlineStr">
        <is>
          <t>1. Finance &gt; Ledgers &gt; pick account</t>
        </is>
      </c>
      <c r="I46" s="8" t="inlineStr">
        <is>
          <t>Cash at Bank</t>
        </is>
      </c>
      <c r="J46" s="8" t="inlineStr">
        <is>
          <t>Entries listed with correct running Dr/Cr balance and closing balance</t>
        </is>
      </c>
      <c r="K46" s="9" t="inlineStr">
        <is>
          <t>Not Run</t>
        </is>
      </c>
      <c r="L46" s="8" t="inlineStr"/>
      <c r="M46" s="8" t="inlineStr"/>
      <c r="N46" s="8" t="inlineStr"/>
    </row>
    <row r="47">
      <c r="A47" s="10" t="inlineStr">
        <is>
          <t>TC-FIN-006</t>
        </is>
      </c>
      <c r="B47" s="10" t="inlineStr">
        <is>
          <t>Finance</t>
        </is>
      </c>
      <c r="C47" s="10" t="inlineStr">
        <is>
          <t>Reports</t>
        </is>
      </c>
      <c r="D47" s="10" t="inlineStr">
        <is>
          <t>P&amp;L totals</t>
        </is>
      </c>
      <c r="E47" s="11" t="inlineStr">
        <is>
          <t>Functional</t>
        </is>
      </c>
      <c r="F47" s="11" t="inlineStr">
        <is>
          <t>High</t>
        </is>
      </c>
      <c r="G47" s="10" t="inlineStr">
        <is>
          <t>Income/expense postings</t>
        </is>
      </c>
      <c r="H47" s="10" t="inlineStr">
        <is>
          <t>1. Finance &gt; Reports</t>
        </is>
      </c>
      <c r="I47" s="10" t="inlineStr">
        <is>
          <t>-</t>
        </is>
      </c>
      <c r="J47" s="10" t="inlineStr">
        <is>
          <t>Income - Expenses = Net Profit shown correctly</t>
        </is>
      </c>
      <c r="K47" s="11" t="inlineStr">
        <is>
          <t>Not Run</t>
        </is>
      </c>
      <c r="L47" s="10" t="inlineStr"/>
      <c r="M47" s="10" t="inlineStr"/>
      <c r="N47" s="10" t="inlineStr"/>
    </row>
    <row r="48">
      <c r="A48" s="8" t="inlineStr">
        <is>
          <t>TC-FIN-007</t>
        </is>
      </c>
      <c r="B48" s="8" t="inlineStr">
        <is>
          <t>Finance</t>
        </is>
      </c>
      <c r="C48" s="8" t="inlineStr">
        <is>
          <t>Reports</t>
        </is>
      </c>
      <c r="D48" s="8" t="inlineStr">
        <is>
          <t>Balance Sheet balances</t>
        </is>
      </c>
      <c r="E48" s="9" t="inlineStr">
        <is>
          <t>Functional</t>
        </is>
      </c>
      <c r="F48" s="9" t="inlineStr">
        <is>
          <t>High</t>
        </is>
      </c>
      <c r="G48" s="8" t="inlineStr">
        <is>
          <t>Postings exist</t>
        </is>
      </c>
      <c r="H48" s="8" t="inlineStr">
        <is>
          <t>1. Finance &gt; Reports</t>
        </is>
      </c>
      <c r="I48" s="8" t="inlineStr">
        <is>
          <t>-</t>
        </is>
      </c>
      <c r="J48" s="8" t="inlineStr">
        <is>
          <t>Assets = Liabilities + Equity; shows '✓ Balanced'</t>
        </is>
      </c>
      <c r="K48" s="9" t="inlineStr">
        <is>
          <t>Not Run</t>
        </is>
      </c>
      <c r="L48" s="8" t="inlineStr"/>
      <c r="M48" s="8" t="inlineStr"/>
      <c r="N48" s="8" t="inlineStr"/>
    </row>
    <row r="49">
      <c r="A49" s="10" t="inlineStr">
        <is>
          <t>TC-FIN-008</t>
        </is>
      </c>
      <c r="B49" s="10" t="inlineStr">
        <is>
          <t>Finance</t>
        </is>
      </c>
      <c r="C49" s="10" t="inlineStr">
        <is>
          <t>VAT</t>
        </is>
      </c>
      <c r="D49" s="10" t="inlineStr">
        <is>
          <t>VAT report figures</t>
        </is>
      </c>
      <c r="E49" s="11" t="inlineStr">
        <is>
          <t>Functional</t>
        </is>
      </c>
      <c r="F49" s="11" t="inlineStr">
        <is>
          <t>High</t>
        </is>
      </c>
      <c r="G49" s="10" t="inlineStr">
        <is>
          <t>VAT vouchers exist</t>
        </is>
      </c>
      <c r="H49" s="10" t="inlineStr">
        <is>
          <t>1. Finance &gt; VAT</t>
        </is>
      </c>
      <c r="I49" s="10" t="inlineStr">
        <is>
          <t>Output 10000, Input 4000</t>
        </is>
      </c>
      <c r="J49" s="10" t="inlineStr">
        <is>
          <t>Output/Input VAT and Net payable (6000) correct</t>
        </is>
      </c>
      <c r="K49" s="11" t="inlineStr">
        <is>
          <t>Not Run</t>
        </is>
      </c>
      <c r="L49" s="10" t="inlineStr"/>
      <c r="M49" s="10" t="inlineStr"/>
      <c r="N49" s="10" t="inlineStr"/>
    </row>
    <row r="50">
      <c r="A50" s="8" t="inlineStr">
        <is>
          <t>TC-FIN-009</t>
        </is>
      </c>
      <c r="B50" s="8" t="inlineStr">
        <is>
          <t>Finance</t>
        </is>
      </c>
      <c r="C50" s="8" t="inlineStr">
        <is>
          <t>Chart of Accounts</t>
        </is>
      </c>
      <c r="D50" s="8" t="inlineStr">
        <is>
          <t>Add / edit / delete account</t>
        </is>
      </c>
      <c r="E50" s="9" t="inlineStr">
        <is>
          <t>Functional</t>
        </is>
      </c>
      <c r="F50" s="9" t="inlineStr">
        <is>
          <t>Medium</t>
        </is>
      </c>
      <c r="G50" s="8" t="inlineStr">
        <is>
          <t>Finance admin</t>
        </is>
      </c>
      <c r="H50" s="8" t="inlineStr">
        <is>
          <t>1. Add an account
2. Edit it
3. Delete it</t>
        </is>
      </c>
      <c r="I50" s="8" t="inlineStr">
        <is>
          <t>-</t>
        </is>
      </c>
      <c r="J50" s="8" t="inlineStr">
        <is>
          <t>CRUD works; account with postings cannot be deleted</t>
        </is>
      </c>
      <c r="K50" s="9" t="inlineStr">
        <is>
          <t>Not Run</t>
        </is>
      </c>
      <c r="L50" s="8" t="inlineStr"/>
      <c r="M50" s="8" t="inlineStr"/>
      <c r="N50" s="8" t="inlineStr"/>
    </row>
    <row r="51">
      <c r="A51" s="10" t="inlineStr">
        <is>
          <t>TC-FIN-010</t>
        </is>
      </c>
      <c r="B51" s="10" t="inlineStr">
        <is>
          <t>Finance</t>
        </is>
      </c>
      <c r="C51" s="10" t="inlineStr">
        <is>
          <t>Tally</t>
        </is>
      </c>
      <c r="D51" s="10" t="inlineStr">
        <is>
          <t>Save Tally config</t>
        </is>
      </c>
      <c r="E51" s="11" t="inlineStr">
        <is>
          <t>Functional</t>
        </is>
      </c>
      <c r="F51" s="11" t="inlineStr">
        <is>
          <t>Medium</t>
        </is>
      </c>
      <c r="G51" s="10" t="inlineStr">
        <is>
          <t>Finance admin</t>
        </is>
      </c>
      <c r="H51" s="10" t="inlineStr">
        <is>
          <t>1. Finance &gt; Tally Sync
2. Enter host/port/company
3. Save</t>
        </is>
      </c>
      <c r="I51" s="10" t="inlineStr">
        <is>
          <t>localhost:9000</t>
        </is>
      </c>
      <c r="J51" s="10" t="inlineStr">
        <is>
          <t>Config saved</t>
        </is>
      </c>
      <c r="K51" s="11" t="inlineStr">
        <is>
          <t>Not Run</t>
        </is>
      </c>
      <c r="L51" s="10" t="inlineStr"/>
      <c r="M51" s="10" t="inlineStr"/>
      <c r="N51" s="10" t="inlineStr"/>
    </row>
    <row r="52">
      <c r="A52" s="8" t="inlineStr">
        <is>
          <t>TC-FIN-011</t>
        </is>
      </c>
      <c r="B52" s="8" t="inlineStr">
        <is>
          <t>Finance</t>
        </is>
      </c>
      <c r="C52" s="8" t="inlineStr">
        <is>
          <t>Tally</t>
        </is>
      </c>
      <c r="D52" s="8" t="inlineStr">
        <is>
          <t>Test connection when unreachable</t>
        </is>
      </c>
      <c r="E52" s="9" t="inlineStr">
        <is>
          <t>Negative</t>
        </is>
      </c>
      <c r="F52" s="9" t="inlineStr">
        <is>
          <t>Medium</t>
        </is>
      </c>
      <c r="G52" s="8" t="inlineStr">
        <is>
          <t>No Tally running</t>
        </is>
      </c>
      <c r="H52" s="8" t="inlineStr">
        <is>
          <t>1. Click Test connection</t>
        </is>
      </c>
      <c r="I52" s="8" t="inlineStr">
        <is>
          <t>-</t>
        </is>
      </c>
      <c r="J52" s="8" t="inlineStr">
        <is>
          <t>Clear error message (e.g. 'Could not reach Tally')</t>
        </is>
      </c>
      <c r="K52" s="9" t="inlineStr">
        <is>
          <t>Not Run</t>
        </is>
      </c>
      <c r="L52" s="8" t="inlineStr"/>
      <c r="M52" s="8" t="inlineStr"/>
      <c r="N52" s="8" t="inlineStr"/>
    </row>
    <row r="53">
      <c r="A53" s="10" t="inlineStr">
        <is>
          <t>TC-FIN-012</t>
        </is>
      </c>
      <c r="B53" s="10" t="inlineStr">
        <is>
          <t>Finance</t>
        </is>
      </c>
      <c r="C53" s="10" t="inlineStr">
        <is>
          <t>Tally</t>
        </is>
      </c>
      <c r="D53" s="10" t="inlineStr">
        <is>
          <t>Import ledgers (live)</t>
        </is>
      </c>
      <c r="E53" s="11" t="inlineStr">
        <is>
          <t>Integration</t>
        </is>
      </c>
      <c r="F53" s="11" t="inlineStr">
        <is>
          <t>Low</t>
        </is>
      </c>
      <c r="G53" s="10" t="inlineStr">
        <is>
          <t>Live Tally reachable</t>
        </is>
      </c>
      <c r="H53" s="10" t="inlineStr">
        <is>
          <t>1. Click Import ledgers from Tally</t>
        </is>
      </c>
      <c r="I53" s="10" t="inlineStr">
        <is>
          <t>live Tally</t>
        </is>
      </c>
      <c r="J53" s="10" t="inlineStr">
        <is>
          <t>Ledgers imported into chart of accounts, mapped by group</t>
        </is>
      </c>
      <c r="K53" s="11" t="inlineStr">
        <is>
          <t>Not Run</t>
        </is>
      </c>
      <c r="L53" s="10" t="inlineStr"/>
      <c r="M53" s="10" t="inlineStr"/>
      <c r="N53" s="10" t="inlineStr"/>
    </row>
    <row r="54">
      <c r="A54" s="8" t="inlineStr">
        <is>
          <t>TC-HR-001</t>
        </is>
      </c>
      <c r="B54" s="8" t="inlineStr">
        <is>
          <t>HR</t>
        </is>
      </c>
      <c r="C54" s="8" t="inlineStr">
        <is>
          <t>Employees</t>
        </is>
      </c>
      <c r="D54" s="8" t="inlineStr">
        <is>
          <t>Add employee</t>
        </is>
      </c>
      <c r="E54" s="9" t="inlineStr">
        <is>
          <t>Functional</t>
        </is>
      </c>
      <c r="F54" s="9" t="inlineStr">
        <is>
          <t>High</t>
        </is>
      </c>
      <c r="G54" s="8" t="inlineStr">
        <is>
          <t>HR access</t>
        </is>
      </c>
      <c r="H54" s="8" t="inlineStr">
        <is>
          <t>1. HR &gt; Employees &gt; Add employee
2. Fill basics
3. Save</t>
        </is>
      </c>
      <c r="I54" s="8" t="inlineStr">
        <is>
          <t>name, dept, salary</t>
        </is>
      </c>
      <c r="J54" s="8" t="inlineStr">
        <is>
          <t>Employee appears in the list</t>
        </is>
      </c>
      <c r="K54" s="9" t="inlineStr">
        <is>
          <t>Not Run</t>
        </is>
      </c>
      <c r="L54" s="8" t="inlineStr"/>
      <c r="M54" s="8" t="inlineStr"/>
      <c r="N54" s="8" t="inlineStr"/>
    </row>
    <row r="55">
      <c r="A55" s="10" t="inlineStr">
        <is>
          <t>TC-HR-002</t>
        </is>
      </c>
      <c r="B55" s="10" t="inlineStr">
        <is>
          <t>HR</t>
        </is>
      </c>
      <c r="C55" s="10" t="inlineStr">
        <is>
          <t>Employees</t>
        </is>
      </c>
      <c r="D55" s="10" t="inlineStr">
        <is>
          <t>Edit and delete employee</t>
        </is>
      </c>
      <c r="E55" s="11" t="inlineStr">
        <is>
          <t>Functional</t>
        </is>
      </c>
      <c r="F55" s="11" t="inlineStr">
        <is>
          <t>Medium</t>
        </is>
      </c>
      <c r="G55" s="10" t="inlineStr">
        <is>
          <t>Employee exists</t>
        </is>
      </c>
      <c r="H55" s="10" t="inlineStr">
        <is>
          <t>1. Edit an employee
2. Delete an employee</t>
        </is>
      </c>
      <c r="I55" s="10" t="inlineStr">
        <is>
          <t>-</t>
        </is>
      </c>
      <c r="J55" s="10" t="inlineStr">
        <is>
          <t>Changes saved; delete works with confirmation</t>
        </is>
      </c>
      <c r="K55" s="11" t="inlineStr">
        <is>
          <t>Not Run</t>
        </is>
      </c>
      <c r="L55" s="10" t="inlineStr"/>
      <c r="M55" s="10" t="inlineStr"/>
      <c r="N55" s="10" t="inlineStr"/>
    </row>
    <row r="56">
      <c r="A56" s="8" t="inlineStr">
        <is>
          <t>TC-HR-003</t>
        </is>
      </c>
      <c r="B56" s="8" t="inlineStr">
        <is>
          <t>HR</t>
        </is>
      </c>
      <c r="C56" s="8" t="inlineStr">
        <is>
          <t>Profile</t>
        </is>
      </c>
      <c r="D56" s="8" t="inlineStr">
        <is>
          <t>UAE documents &amp; expiries</t>
        </is>
      </c>
      <c r="E56" s="9" t="inlineStr">
        <is>
          <t>Functional</t>
        </is>
      </c>
      <c r="F56" s="9" t="inlineStr">
        <is>
          <t>High</t>
        </is>
      </c>
      <c r="G56" s="8" t="inlineStr">
        <is>
          <t>Employee exists</t>
        </is>
      </c>
      <c r="H56" s="8" t="inlineStr">
        <is>
          <t>1. Open profile
2. Add Emirates ID/Visa/Labour Card + expiries
3. Save</t>
        </is>
      </c>
      <c r="I56" s="8" t="inlineStr">
        <is>
          <t>valid dates</t>
        </is>
      </c>
      <c r="J56" s="8" t="inlineStr">
        <is>
          <t>Values saved and drive compliance alerts</t>
        </is>
      </c>
      <c r="K56" s="9" t="inlineStr">
        <is>
          <t>Not Run</t>
        </is>
      </c>
      <c r="L56" s="8" t="inlineStr"/>
      <c r="M56" s="8" t="inlineStr"/>
      <c r="N56" s="8" t="inlineStr"/>
    </row>
    <row r="57">
      <c r="A57" s="10" t="inlineStr">
        <is>
          <t>TC-HR-004</t>
        </is>
      </c>
      <c r="B57" s="10" t="inlineStr">
        <is>
          <t>HR</t>
        </is>
      </c>
      <c r="C57" s="10" t="inlineStr">
        <is>
          <t>Profile</t>
        </is>
      </c>
      <c r="D57" s="10" t="inlineStr">
        <is>
          <t>Upload a document file</t>
        </is>
      </c>
      <c r="E57" s="11" t="inlineStr">
        <is>
          <t>Functional</t>
        </is>
      </c>
      <c r="F57" s="11" t="inlineStr">
        <is>
          <t>Medium</t>
        </is>
      </c>
      <c r="G57" s="10" t="inlineStr">
        <is>
          <t>Employee exists</t>
        </is>
      </c>
      <c r="H57" s="10" t="inlineStr">
        <is>
          <t>1. Profile &gt; upload a file</t>
        </is>
      </c>
      <c r="I57" s="10" t="inlineStr">
        <is>
          <t>PDF/JPG</t>
        </is>
      </c>
      <c r="J57" s="10" t="inlineStr">
        <is>
          <t>File uploads and is downloadable via the secure link</t>
        </is>
      </c>
      <c r="K57" s="11" t="inlineStr">
        <is>
          <t>Not Run</t>
        </is>
      </c>
      <c r="L57" s="10" t="inlineStr"/>
      <c r="M57" s="10" t="inlineStr"/>
      <c r="N57" s="10" t="inlineStr"/>
    </row>
    <row r="58">
      <c r="A58" s="8" t="inlineStr">
        <is>
          <t>TC-HR-005</t>
        </is>
      </c>
      <c r="B58" s="8" t="inlineStr">
        <is>
          <t>HR</t>
        </is>
      </c>
      <c r="C58" s="8" t="inlineStr">
        <is>
          <t>Custom Fields</t>
        </is>
      </c>
      <c r="D58" s="8" t="inlineStr">
        <is>
          <t>Custom field appears on profile</t>
        </is>
      </c>
      <c r="E58" s="9" t="inlineStr">
        <is>
          <t>Functional</t>
        </is>
      </c>
      <c r="F58" s="9" t="inlineStr">
        <is>
          <t>Medium</t>
        </is>
      </c>
      <c r="G58" s="8" t="inlineStr">
        <is>
          <t>Admin added a field</t>
        </is>
      </c>
      <c r="H58" s="8" t="inlineStr">
        <is>
          <t>1. Admin adds a custom field
2. Open any profile</t>
        </is>
      </c>
      <c r="I58" s="8" t="inlineStr">
        <is>
          <t>-</t>
        </is>
      </c>
      <c r="J58" s="8" t="inlineStr">
        <is>
          <t>New field shows on every profile and saves</t>
        </is>
      </c>
      <c r="K58" s="9" t="inlineStr">
        <is>
          <t>Not Run</t>
        </is>
      </c>
      <c r="L58" s="8" t="inlineStr"/>
      <c r="M58" s="8" t="inlineStr"/>
      <c r="N58" s="8" t="inlineStr"/>
    </row>
    <row r="59">
      <c r="A59" s="10" t="inlineStr">
        <is>
          <t>TC-HR-006</t>
        </is>
      </c>
      <c r="B59" s="10" t="inlineStr">
        <is>
          <t>HR</t>
        </is>
      </c>
      <c r="C59" s="10" t="inlineStr">
        <is>
          <t>Onboarding</t>
        </is>
      </c>
      <c r="D59" s="10" t="inlineStr">
        <is>
          <t>Requisition to hire</t>
        </is>
      </c>
      <c r="E59" s="11" t="inlineStr">
        <is>
          <t>Functional</t>
        </is>
      </c>
      <c r="F59" s="11" t="inlineStr">
        <is>
          <t>High</t>
        </is>
      </c>
      <c r="G59" s="10" t="inlineStr">
        <is>
          <t>HR access</t>
        </is>
      </c>
      <c r="H59" s="10" t="inlineStr">
        <is>
          <t>1. Raise requisition
2. Add candidate
3. Hire</t>
        </is>
      </c>
      <c r="I59" s="10" t="inlineStr">
        <is>
          <t>-</t>
        </is>
      </c>
      <c r="J59" s="10" t="inlineStr">
        <is>
          <t>Hiring creates an employee record + joining checklist</t>
        </is>
      </c>
      <c r="K59" s="11" t="inlineStr">
        <is>
          <t>Not Run</t>
        </is>
      </c>
      <c r="L59" s="10" t="inlineStr"/>
      <c r="M59" s="10" t="inlineStr"/>
      <c r="N59" s="10" t="inlineStr"/>
    </row>
    <row r="60">
      <c r="A60" s="8" t="inlineStr">
        <is>
          <t>TC-HR-007</t>
        </is>
      </c>
      <c r="B60" s="8" t="inlineStr">
        <is>
          <t>HR</t>
        </is>
      </c>
      <c r="C60" s="8" t="inlineStr">
        <is>
          <t>Payroll</t>
        </is>
      </c>
      <c r="D60" s="8" t="inlineStr">
        <is>
          <t>Run payroll &amp; payslips</t>
        </is>
      </c>
      <c r="E60" s="9" t="inlineStr">
        <is>
          <t>Functional</t>
        </is>
      </c>
      <c r="F60" s="9" t="inlineStr">
        <is>
          <t>High</t>
        </is>
      </c>
      <c r="G60" s="8" t="inlineStr">
        <is>
          <t>Employees with salary</t>
        </is>
      </c>
      <c r="H60" s="8" t="inlineStr">
        <is>
          <t>1. Create a payroll run</t>
        </is>
      </c>
      <c r="I60" s="8" t="inlineStr">
        <is>
          <t>period</t>
        </is>
      </c>
      <c r="J60" s="8" t="inlineStr">
        <is>
          <t>Payslips generated from salary structure</t>
        </is>
      </c>
      <c r="K60" s="9" t="inlineStr">
        <is>
          <t>Not Run</t>
        </is>
      </c>
      <c r="L60" s="8" t="inlineStr"/>
      <c r="M60" s="8" t="inlineStr"/>
      <c r="N60" s="8" t="inlineStr"/>
    </row>
    <row r="61">
      <c r="A61" s="10" t="inlineStr">
        <is>
          <t>TC-HR-008</t>
        </is>
      </c>
      <c r="B61" s="10" t="inlineStr">
        <is>
          <t>HR</t>
        </is>
      </c>
      <c r="C61" s="10" t="inlineStr">
        <is>
          <t>Payroll</t>
        </is>
      </c>
      <c r="D61" s="10" t="inlineStr">
        <is>
          <t>Status Draft-&gt;Approved-&gt;Paid</t>
        </is>
      </c>
      <c r="E61" s="11" t="inlineStr">
        <is>
          <t>Functional</t>
        </is>
      </c>
      <c r="F61" s="11" t="inlineStr">
        <is>
          <t>Medium</t>
        </is>
      </c>
      <c r="G61" s="10" t="inlineStr">
        <is>
          <t>Run exists</t>
        </is>
      </c>
      <c r="H61" s="10" t="inlineStr">
        <is>
          <t>1. Change run status</t>
        </is>
      </c>
      <c r="I61" s="10" t="inlineStr">
        <is>
          <t>-</t>
        </is>
      </c>
      <c r="J61" s="10" t="inlineStr">
        <is>
          <t>Status transitions correctly</t>
        </is>
      </c>
      <c r="K61" s="11" t="inlineStr">
        <is>
          <t>Not Run</t>
        </is>
      </c>
      <c r="L61" s="10" t="inlineStr"/>
      <c r="M61" s="10" t="inlineStr"/>
      <c r="N61" s="10" t="inlineStr"/>
    </row>
    <row r="62">
      <c r="A62" s="8" t="inlineStr">
        <is>
          <t>TC-HR-009</t>
        </is>
      </c>
      <c r="B62" s="8" t="inlineStr">
        <is>
          <t>HR</t>
        </is>
      </c>
      <c r="C62" s="8" t="inlineStr">
        <is>
          <t>Advances</t>
        </is>
      </c>
      <c r="D62" s="8" t="inlineStr">
        <is>
          <t>Create a salary advance</t>
        </is>
      </c>
      <c r="E62" s="9" t="inlineStr">
        <is>
          <t>Functional</t>
        </is>
      </c>
      <c r="F62" s="9" t="inlineStr">
        <is>
          <t>High</t>
        </is>
      </c>
      <c r="G62" s="8" t="inlineStr">
        <is>
          <t>Active employee exists</t>
        </is>
      </c>
      <c r="H62" s="8" t="inlineStr">
        <is>
          <t>1. Payroll &gt; New advance
2. Pick employee, amount, monthly recovery
3. Save</t>
        </is>
      </c>
      <c r="I62" s="8" t="inlineStr">
        <is>
          <t>AED 6,000 total / AED 1,000 per month</t>
        </is>
      </c>
      <c r="J62" s="8" t="inlineStr">
        <is>
          <t>Advance listed under 'Active salary advances' with outstanding balance AED 6,000</t>
        </is>
      </c>
      <c r="K62" s="9" t="inlineStr">
        <is>
          <t>Not Run</t>
        </is>
      </c>
      <c r="L62" s="8" t="inlineStr"/>
      <c r="M62" s="8" t="inlineStr"/>
      <c r="N62" s="8" t="inlineStr"/>
    </row>
    <row r="63">
      <c r="A63" s="10" t="inlineStr">
        <is>
          <t>TC-HR-010</t>
        </is>
      </c>
      <c r="B63" s="10" t="inlineStr">
        <is>
          <t>HR</t>
        </is>
      </c>
      <c r="C63" s="10" t="inlineStr">
        <is>
          <t>Advances</t>
        </is>
      </c>
      <c r="D63" s="10" t="inlineStr">
        <is>
          <t>Advance is deducted on the next payslip</t>
        </is>
      </c>
      <c r="E63" s="11" t="inlineStr">
        <is>
          <t>Functional</t>
        </is>
      </c>
      <c r="F63" s="11" t="inlineStr">
        <is>
          <t>High</t>
        </is>
      </c>
      <c r="G63" s="10" t="inlineStr">
        <is>
          <t>Active advance exists</t>
        </is>
      </c>
      <c r="H63" s="10" t="inlineStr">
        <is>
          <t>1. Run payroll for the next month
2. Open the run</t>
        </is>
      </c>
      <c r="I63" s="10" t="inlineStr">
        <is>
          <t>Basic 18,000 + Allow 4,000, advance 1,000/mo</t>
        </is>
      </c>
      <c r="J63" s="10" t="inlineStr">
        <is>
          <t>Advance column shows 1,000; Net Pay = 21,000 (not 22,000)</t>
        </is>
      </c>
      <c r="K63" s="11" t="inlineStr">
        <is>
          <t>Not Run</t>
        </is>
      </c>
      <c r="L63" s="10" t="inlineStr"/>
      <c r="M63" s="10" t="inlineStr"/>
      <c r="N63" s="10" t="inlineStr"/>
    </row>
    <row r="64">
      <c r="A64" s="8" t="inlineStr">
        <is>
          <t>TC-HR-011</t>
        </is>
      </c>
      <c r="B64" s="8" t="inlineStr">
        <is>
          <t>HR</t>
        </is>
      </c>
      <c r="C64" s="8" t="inlineStr">
        <is>
          <t>Advances</t>
        </is>
      </c>
      <c r="D64" s="8" t="inlineStr">
        <is>
          <t>Balance only reduces when the run is marked Paid</t>
        </is>
      </c>
      <c r="E64" s="9" t="inlineStr">
        <is>
          <t>Functional</t>
        </is>
      </c>
      <c r="F64" s="9" t="inlineStr">
        <is>
          <t>High</t>
        </is>
      </c>
      <c r="G64" s="8" t="inlineStr">
        <is>
          <t>Draft run with a recovery</t>
        </is>
      </c>
      <c r="H64" s="8" t="inlineStr">
        <is>
          <t>1. Leave run in Draft, check balance
2. Set run to Paid, check again</t>
        </is>
      </c>
      <c r="I64" s="8" t="inlineStr">
        <is>
          <t>-</t>
        </is>
      </c>
      <c r="J64" s="8" t="inlineStr">
        <is>
          <t>Balance stays 6,000 while Draft/Approved; drops to 5,000 only after Paid</t>
        </is>
      </c>
      <c r="K64" s="9" t="inlineStr">
        <is>
          <t>Not Run</t>
        </is>
      </c>
      <c r="L64" s="8" t="inlineStr"/>
      <c r="M64" s="8" t="inlineStr"/>
      <c r="N64" s="8" t="inlineStr"/>
    </row>
    <row r="65">
      <c r="A65" s="10" t="inlineStr">
        <is>
          <t>TC-HR-012</t>
        </is>
      </c>
      <c r="B65" s="10" t="inlineStr">
        <is>
          <t>HR</t>
        </is>
      </c>
      <c r="C65" s="10" t="inlineStr">
        <is>
          <t>Advances</t>
        </is>
      </c>
      <c r="D65" s="10" t="inlineStr">
        <is>
          <t>Recovery is capped at the outstanding balance</t>
        </is>
      </c>
      <c r="E65" s="11" t="inlineStr">
        <is>
          <t>Negative</t>
        </is>
      </c>
      <c r="F65" s="11" t="inlineStr">
        <is>
          <t>Medium</t>
        </is>
      </c>
      <c r="G65" s="10" t="inlineStr">
        <is>
          <t>Advance balance below monthly amount</t>
        </is>
      </c>
      <c r="H65" s="10" t="inlineStr">
        <is>
          <t>1. Reduce balance to 500
2. Run payroll</t>
        </is>
      </c>
      <c r="I65" s="10" t="inlineStr">
        <is>
          <t>balance 500, monthly 1,000</t>
        </is>
      </c>
      <c r="J65" s="10" t="inlineStr">
        <is>
          <t>Only 500 is recovered, never more than is owed</t>
        </is>
      </c>
      <c r="K65" s="11" t="inlineStr">
        <is>
          <t>Not Run</t>
        </is>
      </c>
      <c r="L65" s="10" t="inlineStr"/>
      <c r="M65" s="10" t="inlineStr"/>
      <c r="N65" s="10" t="inlineStr"/>
    </row>
    <row r="66">
      <c r="A66" s="8" t="inlineStr">
        <is>
          <t>TC-HR-013</t>
        </is>
      </c>
      <c r="B66" s="8" t="inlineStr">
        <is>
          <t>HR</t>
        </is>
      </c>
      <c r="C66" s="8" t="inlineStr">
        <is>
          <t>Advances</t>
        </is>
      </c>
      <c r="D66" s="8" t="inlineStr">
        <is>
          <t>Advance is Cleared when fully repaid</t>
        </is>
      </c>
      <c r="E66" s="9" t="inlineStr">
        <is>
          <t>Functional</t>
        </is>
      </c>
      <c r="F66" s="9" t="inlineStr">
        <is>
          <t>Medium</t>
        </is>
      </c>
      <c r="G66" s="8" t="inlineStr">
        <is>
          <t>Advance nearly repaid</t>
        </is>
      </c>
      <c r="H66" s="8" t="inlineStr">
        <is>
          <t>1. Run and pay the final payroll</t>
        </is>
      </c>
      <c r="I66" s="8" t="inlineStr">
        <is>
          <t>final instalment</t>
        </is>
      </c>
      <c r="J66" s="8" t="inlineStr">
        <is>
          <t>Balance 0 and status changes to 'Cleared'; no longer in the active list</t>
        </is>
      </c>
      <c r="K66" s="9" t="inlineStr">
        <is>
          <t>Not Run</t>
        </is>
      </c>
      <c r="L66" s="8" t="inlineStr"/>
      <c r="M66" s="8" t="inlineStr"/>
      <c r="N66" s="8" t="inlineStr"/>
    </row>
    <row r="67">
      <c r="A67" s="10" t="inlineStr">
        <is>
          <t>TC-HR-014</t>
        </is>
      </c>
      <c r="B67" s="10" t="inlineStr">
        <is>
          <t>HR</t>
        </is>
      </c>
      <c r="C67" s="10" t="inlineStr">
        <is>
          <t>Advances</t>
        </is>
      </c>
      <c r="D67" s="10" t="inlineStr">
        <is>
          <t>Employee with no advance is unaffected</t>
        </is>
      </c>
      <c r="E67" s="11" t="inlineStr">
        <is>
          <t>Functional</t>
        </is>
      </c>
      <c r="F67" s="11" t="inlineStr">
        <is>
          <t>Medium</t>
        </is>
      </c>
      <c r="G67" s="10" t="inlineStr">
        <is>
          <t>Employee has no advance</t>
        </is>
      </c>
      <c r="H67" s="10" t="inlineStr">
        <is>
          <t>1. Run payroll
2. Check that employee's row</t>
        </is>
      </c>
      <c r="I67" s="10" t="inlineStr">
        <is>
          <t>-</t>
        </is>
      </c>
      <c r="J67" s="10" t="inlineStr">
        <is>
          <t>Advance column shows a dash; Net Pay = Basic + Allowances</t>
        </is>
      </c>
      <c r="K67" s="11" t="inlineStr">
        <is>
          <t>Not Run</t>
        </is>
      </c>
      <c r="L67" s="10" t="inlineStr"/>
      <c r="M67" s="10" t="inlineStr"/>
      <c r="N67" s="10" t="inlineStr"/>
    </row>
    <row r="68">
      <c r="A68" s="8" t="inlineStr">
        <is>
          <t>TC-HR-015</t>
        </is>
      </c>
      <c r="B68" s="8" t="inlineStr">
        <is>
          <t>HR</t>
        </is>
      </c>
      <c r="C68" s="8" t="inlineStr">
        <is>
          <t>Advances</t>
        </is>
      </c>
      <c r="D68" s="8" t="inlineStr">
        <is>
          <t>Delete an advance</t>
        </is>
      </c>
      <c r="E68" s="9" t="inlineStr">
        <is>
          <t>Functional</t>
        </is>
      </c>
      <c r="F68" s="9" t="inlineStr">
        <is>
          <t>Low</t>
        </is>
      </c>
      <c r="G68" s="8" t="inlineStr">
        <is>
          <t>Advance exists</t>
        </is>
      </c>
      <c r="H68" s="8" t="inlineStr">
        <is>
          <t>1. Click the delete icon on an advance
2. Confirm</t>
        </is>
      </c>
      <c r="I68" s="8" t="inlineStr">
        <is>
          <t>-</t>
        </is>
      </c>
      <c r="J68" s="8" t="inlineStr">
        <is>
          <t>Advance removed from the active list</t>
        </is>
      </c>
      <c r="K68" s="9" t="inlineStr">
        <is>
          <t>Not Run</t>
        </is>
      </c>
      <c r="L68" s="8" t="inlineStr"/>
      <c r="M68" s="8" t="inlineStr"/>
      <c r="N68" s="8" t="inlineStr"/>
    </row>
    <row r="69">
      <c r="A69" s="10" t="inlineStr">
        <is>
          <t>TC-HR-016</t>
        </is>
      </c>
      <c r="B69" s="10" t="inlineStr">
        <is>
          <t>HR</t>
        </is>
      </c>
      <c r="C69" s="10" t="inlineStr">
        <is>
          <t>WPS</t>
        </is>
      </c>
      <c r="D69" s="10" t="inlineStr">
        <is>
          <t>WPS blocked until employer details are set</t>
        </is>
      </c>
      <c r="E69" s="11" t="inlineStr">
        <is>
          <t>Negative</t>
        </is>
      </c>
      <c r="F69" s="11" t="inlineStr">
        <is>
          <t>High</t>
        </is>
      </c>
      <c r="G69" s="10" t="inlineStr">
        <is>
          <t>Company has no WPS settings</t>
        </is>
      </c>
      <c r="H69" s="10" t="inlineStr">
        <is>
          <t>1. Open a payroll run
2. Click Download WPS file</t>
        </is>
      </c>
      <c r="I69" s="10" t="inlineStr">
        <is>
          <t>-</t>
        </is>
      </c>
      <c r="J69" s="10" t="inlineStr">
        <is>
          <t>Refused with a message asking for the WPS employer ID and bank routing code</t>
        </is>
      </c>
      <c r="K69" s="11" t="inlineStr">
        <is>
          <t>Not Run</t>
        </is>
      </c>
      <c r="L69" s="10" t="inlineStr"/>
      <c r="M69" s="10" t="inlineStr"/>
      <c r="N69" s="10" t="inlineStr"/>
    </row>
    <row r="70">
      <c r="A70" s="8" t="inlineStr">
        <is>
          <t>TC-HR-017</t>
        </is>
      </c>
      <c r="B70" s="8" t="inlineStr">
        <is>
          <t>HR</t>
        </is>
      </c>
      <c r="C70" s="8" t="inlineStr">
        <is>
          <t>WPS</t>
        </is>
      </c>
      <c r="D70" s="8" t="inlineStr">
        <is>
          <t>Save company WPS settings</t>
        </is>
      </c>
      <c r="E70" s="9" t="inlineStr">
        <is>
          <t>Functional</t>
        </is>
      </c>
      <c r="F70" s="9" t="inlineStr">
        <is>
          <t>High</t>
        </is>
      </c>
      <c r="G70" s="8" t="inlineStr">
        <is>
          <t>Admin/HR on Payroll screen</t>
        </is>
      </c>
      <c r="H70" s="8" t="inlineStr">
        <is>
          <t>1. Enter WPS employer ID and bank routing code
2. Save</t>
        </is>
      </c>
      <c r="I70" s="8" t="inlineStr">
        <is>
          <t>from the bank</t>
        </is>
      </c>
      <c r="J70" s="8" t="inlineStr">
        <is>
          <t>Settings saved and retained on reload</t>
        </is>
      </c>
      <c r="K70" s="9" t="inlineStr">
        <is>
          <t>Not Run</t>
        </is>
      </c>
      <c r="L70" s="8" t="inlineStr"/>
      <c r="M70" s="8" t="inlineStr"/>
      <c r="N70" s="8" t="inlineStr"/>
    </row>
    <row r="71">
      <c r="A71" s="10" t="inlineStr">
        <is>
          <t>TC-HR-018</t>
        </is>
      </c>
      <c r="B71" s="10" t="inlineStr">
        <is>
          <t>HR</t>
        </is>
      </c>
      <c r="C71" s="10" t="inlineStr">
        <is>
          <t>WPS</t>
        </is>
      </c>
      <c r="D71" s="10" t="inlineStr">
        <is>
          <t>Download the SIF file</t>
        </is>
      </c>
      <c r="E71" s="11" t="inlineStr">
        <is>
          <t>Functional</t>
        </is>
      </c>
      <c r="F71" s="11" t="inlineStr">
        <is>
          <t>High</t>
        </is>
      </c>
      <c r="G71" s="10" t="inlineStr">
        <is>
          <t>WPS settings saved; employees have IBAN/labour card/routing</t>
        </is>
      </c>
      <c r="H71" s="10" t="inlineStr">
        <is>
          <t>1. Open a payroll run
2. Click Download WPS file</t>
        </is>
      </c>
      <c r="I71" s="10" t="inlineStr">
        <is>
          <t>-</t>
        </is>
      </c>
      <c r="J71" s="10" t="inlineStr">
        <is>
          <t>File downloads as WPS_&lt;COMPANY&gt;_&lt;YYYY-MM&gt;.sif</t>
        </is>
      </c>
      <c r="K71" s="11" t="inlineStr">
        <is>
          <t>Not Run</t>
        </is>
      </c>
      <c r="L71" s="10" t="inlineStr"/>
      <c r="M71" s="10" t="inlineStr"/>
      <c r="N71" s="10" t="inlineStr"/>
    </row>
    <row r="72">
      <c r="A72" s="8" t="inlineStr">
        <is>
          <t>TC-HR-019</t>
        </is>
      </c>
      <c r="B72" s="8" t="inlineStr">
        <is>
          <t>HR</t>
        </is>
      </c>
      <c r="C72" s="8" t="inlineStr">
        <is>
          <t>WPS</t>
        </is>
      </c>
      <c r="D72" s="8" t="inlineStr">
        <is>
          <t>SIF contents are correct</t>
        </is>
      </c>
      <c r="E72" s="9" t="inlineStr">
        <is>
          <t>Functional</t>
        </is>
      </c>
      <c r="F72" s="9" t="inlineStr">
        <is>
          <t>High</t>
        </is>
      </c>
      <c r="G72" s="8" t="inlineStr">
        <is>
          <t>SIF downloaded</t>
        </is>
      </c>
      <c r="H72" s="8" t="inlineStr">
        <is>
          <t>1. Open the .sif in a text editor</t>
        </is>
      </c>
      <c r="I72" s="8" t="inlineStr">
        <is>
          <t>2 employees paid</t>
        </is>
      </c>
      <c r="J72" s="8" t="inlineStr">
        <is>
          <t>One SCR header line then one EDR line per employee; SCR totals match the run's net pay; salary month is MMYYYY</t>
        </is>
      </c>
      <c r="K72" s="9" t="inlineStr">
        <is>
          <t>Not Run</t>
        </is>
      </c>
      <c r="L72" s="8" t="inlineStr"/>
      <c r="M72" s="8" t="inlineStr"/>
      <c r="N72" s="8" t="inlineStr"/>
    </row>
    <row r="73">
      <c r="A73" s="10" t="inlineStr">
        <is>
          <t>TC-HR-020</t>
        </is>
      </c>
      <c r="B73" s="10" t="inlineStr">
        <is>
          <t>HR</t>
        </is>
      </c>
      <c r="C73" s="10" t="inlineStr">
        <is>
          <t>WPS</t>
        </is>
      </c>
      <c r="D73" s="10" t="inlineStr">
        <is>
          <t>Employees with missing bank details are reported</t>
        </is>
      </c>
      <c r="E73" s="11" t="inlineStr">
        <is>
          <t>Negative</t>
        </is>
      </c>
      <c r="F73" s="11" t="inlineStr">
        <is>
          <t>High</t>
        </is>
      </c>
      <c r="G73" s="10" t="inlineStr">
        <is>
          <t>One employee has no IBAN</t>
        </is>
      </c>
      <c r="H73" s="10" t="inlineStr">
        <is>
          <t>1. Download the WPS file</t>
        </is>
      </c>
      <c r="I73" s="10" t="inlineStr">
        <is>
          <t>1 of 5 incomplete</t>
        </is>
      </c>
      <c r="J73" s="10" t="inlineStr">
        <is>
          <t>File is still produced for the other 4; the incomplete employee is named back to the user</t>
        </is>
      </c>
      <c r="K73" s="11" t="inlineStr">
        <is>
          <t>Not Run</t>
        </is>
      </c>
      <c r="L73" s="10" t="inlineStr"/>
      <c r="M73" s="10" t="inlineStr"/>
      <c r="N73" s="10" t="inlineStr"/>
    </row>
    <row r="74">
      <c r="A74" s="8" t="inlineStr">
        <is>
          <t>TC-HR-021</t>
        </is>
      </c>
      <c r="B74" s="8" t="inlineStr">
        <is>
          <t>HR</t>
        </is>
      </c>
      <c r="C74" s="8" t="inlineStr">
        <is>
          <t>WPS</t>
        </is>
      </c>
      <c r="D74" s="8" t="inlineStr">
        <is>
          <t>No employee has complete details</t>
        </is>
      </c>
      <c r="E74" s="9" t="inlineStr">
        <is>
          <t>Negative</t>
        </is>
      </c>
      <c r="F74" s="9" t="inlineStr">
        <is>
          <t>Medium</t>
        </is>
      </c>
      <c r="G74" s="8" t="inlineStr">
        <is>
          <t>All employees missing IBAN</t>
        </is>
      </c>
      <c r="H74" s="8" t="inlineStr">
        <is>
          <t>1. Download the WPS file</t>
        </is>
      </c>
      <c r="I74" s="8" t="inlineStr">
        <is>
          <t>-</t>
        </is>
      </c>
      <c r="J74" s="8" t="inlineStr">
        <is>
          <t>Refused with a clear message; no empty file is produced</t>
        </is>
      </c>
      <c r="K74" s="9" t="inlineStr">
        <is>
          <t>Not Run</t>
        </is>
      </c>
      <c r="L74" s="8" t="inlineStr"/>
      <c r="M74" s="8" t="inlineStr"/>
      <c r="N74" s="8" t="inlineStr"/>
    </row>
    <row r="75">
      <c r="A75" s="10" t="inlineStr">
        <is>
          <t>TC-HR-022</t>
        </is>
      </c>
      <c r="B75" s="10" t="inlineStr">
        <is>
          <t>HR</t>
        </is>
      </c>
      <c r="C75" s="10" t="inlineStr">
        <is>
          <t>Leave</t>
        </is>
      </c>
      <c r="D75" s="10" t="inlineStr">
        <is>
          <t>Approve leave deducts balance</t>
        </is>
      </c>
      <c r="E75" s="11" t="inlineStr">
        <is>
          <t>Functional</t>
        </is>
      </c>
      <c r="F75" s="11" t="inlineStr">
        <is>
          <t>High</t>
        </is>
      </c>
      <c r="G75" s="10" t="inlineStr">
        <is>
          <t>Employee with balance</t>
        </is>
      </c>
      <c r="H75" s="10" t="inlineStr">
        <is>
          <t>1. Submit leave
2. Approve</t>
        </is>
      </c>
      <c r="I75" s="10" t="inlineStr">
        <is>
          <t>5 days</t>
        </is>
      </c>
      <c r="J75" s="10" t="inlineStr">
        <is>
          <t>Balance reduced by approved days</t>
        </is>
      </c>
      <c r="K75" s="11" t="inlineStr">
        <is>
          <t>Not Run</t>
        </is>
      </c>
      <c r="L75" s="10" t="inlineStr"/>
      <c r="M75" s="10" t="inlineStr"/>
      <c r="N75" s="10" t="inlineStr"/>
    </row>
    <row r="76">
      <c r="A76" s="8" t="inlineStr">
        <is>
          <t>TC-HR-023</t>
        </is>
      </c>
      <c r="B76" s="8" t="inlineStr">
        <is>
          <t>HR</t>
        </is>
      </c>
      <c r="C76" s="8" t="inlineStr">
        <is>
          <t>Attendance</t>
        </is>
      </c>
      <c r="D76" s="8" t="inlineStr">
        <is>
          <t>Muster defaults everyone Present</t>
        </is>
      </c>
      <c r="E76" s="9" t="inlineStr">
        <is>
          <t>Functional</t>
        </is>
      </c>
      <c r="F76" s="9" t="inlineStr">
        <is>
          <t>High</t>
        </is>
      </c>
      <c r="G76" s="8" t="inlineStr">
        <is>
          <t>Employees exist</t>
        </is>
      </c>
      <c r="H76" s="8" t="inlineStr">
        <is>
          <t>1. HR &gt; Attendance</t>
        </is>
      </c>
      <c r="I76" s="8" t="inlineStr">
        <is>
          <t>-</t>
        </is>
      </c>
      <c r="J76" s="8" t="inlineStr">
        <is>
          <t>All shown as Present by default</t>
        </is>
      </c>
      <c r="K76" s="9" t="inlineStr">
        <is>
          <t>Not Run</t>
        </is>
      </c>
      <c r="L76" s="8" t="inlineStr"/>
      <c r="M76" s="8" t="inlineStr"/>
      <c r="N76" s="8" t="inlineStr"/>
    </row>
    <row r="77">
      <c r="A77" s="10" t="inlineStr">
        <is>
          <t>TC-HR-024</t>
        </is>
      </c>
      <c r="B77" s="10" t="inlineStr">
        <is>
          <t>HR</t>
        </is>
      </c>
      <c r="C77" s="10" t="inlineStr">
        <is>
          <t>Attendance</t>
        </is>
      </c>
      <c r="D77" s="10" t="inlineStr">
        <is>
          <t>Mark exceptions &amp; save</t>
        </is>
      </c>
      <c r="E77" s="11" t="inlineStr">
        <is>
          <t>Functional</t>
        </is>
      </c>
      <c r="F77" s="11" t="inlineStr">
        <is>
          <t>High</t>
        </is>
      </c>
      <c r="G77" s="10" t="inlineStr">
        <is>
          <t>Muster open</t>
        </is>
      </c>
      <c r="H77" s="10" t="inlineStr">
        <is>
          <t>1. Tap A/L for a few
2. Save muster</t>
        </is>
      </c>
      <c r="I77" s="10" t="inlineStr">
        <is>
          <t>-</t>
        </is>
      </c>
      <c r="J77" s="10" t="inlineStr">
        <is>
          <t>Marks saved; recent attendance reflects them</t>
        </is>
      </c>
      <c r="K77" s="11" t="inlineStr">
        <is>
          <t>Not Run</t>
        </is>
      </c>
      <c r="L77" s="10" t="inlineStr"/>
      <c r="M77" s="10" t="inlineStr"/>
      <c r="N77" s="10" t="inlineStr"/>
    </row>
    <row r="78">
      <c r="A78" s="8" t="inlineStr">
        <is>
          <t>TC-HR-025</t>
        </is>
      </c>
      <c r="B78" s="8" t="inlineStr">
        <is>
          <t>HR</t>
        </is>
      </c>
      <c r="C78" s="8" t="inlineStr">
        <is>
          <t>Attendance</t>
        </is>
      </c>
      <c r="D78" s="8" t="inlineStr">
        <is>
          <t>Change date reloads muster</t>
        </is>
      </c>
      <c r="E78" s="9" t="inlineStr">
        <is>
          <t>Functional</t>
        </is>
      </c>
      <c r="F78" s="9" t="inlineStr">
        <is>
          <t>Medium</t>
        </is>
      </c>
      <c r="G78" s="8" t="inlineStr">
        <is>
          <t>Muster open</t>
        </is>
      </c>
      <c r="H78" s="8" t="inlineStr">
        <is>
          <t>1. Change the date picker</t>
        </is>
      </c>
      <c r="I78" s="8" t="inlineStr">
        <is>
          <t>past date</t>
        </is>
      </c>
      <c r="J78" s="8" t="inlineStr">
        <is>
          <t>Previously saved marks for that date preload</t>
        </is>
      </c>
      <c r="K78" s="9" t="inlineStr">
        <is>
          <t>Not Run</t>
        </is>
      </c>
      <c r="L78" s="8" t="inlineStr"/>
      <c r="M78" s="8" t="inlineStr"/>
      <c r="N78" s="8" t="inlineStr"/>
    </row>
    <row r="79">
      <c r="A79" s="10" t="inlineStr">
        <is>
          <t>TC-HR-026</t>
        </is>
      </c>
      <c r="B79" s="10" t="inlineStr">
        <is>
          <t>HR</t>
        </is>
      </c>
      <c r="C79" s="10" t="inlineStr">
        <is>
          <t>Punch Import</t>
        </is>
      </c>
      <c r="D79" s="10" t="inlineStr">
        <is>
          <t>Import valid punch log</t>
        </is>
      </c>
      <c r="E79" s="11" t="inlineStr">
        <is>
          <t>Functional</t>
        </is>
      </c>
      <c r="F79" s="11" t="inlineStr">
        <is>
          <t>High</t>
        </is>
      </c>
      <c r="G79" s="10" t="inlineStr">
        <is>
          <t>Employees have biometric IDs</t>
        </is>
      </c>
      <c r="H79" s="10" t="inlineStr">
        <is>
          <t>1. Import from punch machine
2. Upload CSV</t>
        </is>
      </c>
      <c r="I79" s="10" t="inlineStr">
        <is>
          <t>sample_punch_log.csv</t>
        </is>
      </c>
      <c r="J79" s="10" t="inlineStr">
        <is>
          <t>Attendance auto-created; first-in/last-out hours computed</t>
        </is>
      </c>
      <c r="K79" s="11" t="inlineStr">
        <is>
          <t>Not Run</t>
        </is>
      </c>
      <c r="L79" s="10" t="inlineStr"/>
      <c r="M79" s="10" t="inlineStr"/>
      <c r="N79" s="10" t="inlineStr"/>
    </row>
    <row r="80">
      <c r="A80" s="8" t="inlineStr">
        <is>
          <t>TC-HR-027</t>
        </is>
      </c>
      <c r="B80" s="8" t="inlineStr">
        <is>
          <t>HR</t>
        </is>
      </c>
      <c r="C80" s="8" t="inlineStr">
        <is>
          <t>Punch Import</t>
        </is>
      </c>
      <c r="D80" s="8" t="inlineStr">
        <is>
          <t>Half-day detection</t>
        </is>
      </c>
      <c r="E80" s="9" t="inlineStr">
        <is>
          <t>Functional</t>
        </is>
      </c>
      <c r="F80" s="9" t="inlineStr">
        <is>
          <t>Medium</t>
        </is>
      </c>
      <c r="G80" s="8" t="inlineStr">
        <is>
          <t>Short-hours punch</t>
        </is>
      </c>
      <c r="H80" s="8" t="inlineStr">
        <is>
          <t>1. Import a &lt;4h punch day</t>
        </is>
      </c>
      <c r="I80" s="8" t="inlineStr">
        <is>
          <t>in 08:10 out 11:20</t>
        </is>
      </c>
      <c r="J80" s="8" t="inlineStr">
        <is>
          <t>Status = Half-day</t>
        </is>
      </c>
      <c r="K80" s="9" t="inlineStr">
        <is>
          <t>Not Run</t>
        </is>
      </c>
      <c r="L80" s="8" t="inlineStr"/>
      <c r="M80" s="8" t="inlineStr"/>
      <c r="N80" s="8" t="inlineStr"/>
    </row>
    <row r="81">
      <c r="A81" s="10" t="inlineStr">
        <is>
          <t>TC-HR-028</t>
        </is>
      </c>
      <c r="B81" s="10" t="inlineStr">
        <is>
          <t>HR</t>
        </is>
      </c>
      <c r="C81" s="10" t="inlineStr">
        <is>
          <t>Punch Import</t>
        </is>
      </c>
      <c r="D81" s="10" t="inlineStr">
        <is>
          <t>Unmatched device IDs reported</t>
        </is>
      </c>
      <c r="E81" s="11" t="inlineStr">
        <is>
          <t>Negative</t>
        </is>
      </c>
      <c r="F81" s="11" t="inlineStr">
        <is>
          <t>Medium</t>
        </is>
      </c>
      <c r="G81" s="10" t="inlineStr">
        <is>
          <t>Log has unknown ID</t>
        </is>
      </c>
      <c r="H81" s="10" t="inlineStr">
        <is>
          <t>1. Import log with an unknown ID</t>
        </is>
      </c>
      <c r="I81" s="10" t="inlineStr">
        <is>
          <t>ID 999</t>
        </is>
      </c>
      <c r="J81" s="10" t="inlineStr">
        <is>
          <t>Unmatched IDs listed; no attendance created for them</t>
        </is>
      </c>
      <c r="K81" s="11" t="inlineStr">
        <is>
          <t>Not Run</t>
        </is>
      </c>
      <c r="L81" s="10" t="inlineStr"/>
      <c r="M81" s="10" t="inlineStr"/>
      <c r="N81" s="10" t="inlineStr"/>
    </row>
    <row r="82">
      <c r="A82" s="8" t="inlineStr">
        <is>
          <t>TC-HR-029</t>
        </is>
      </c>
      <c r="B82" s="8" t="inlineStr">
        <is>
          <t>HR</t>
        </is>
      </c>
      <c r="C82" s="8" t="inlineStr">
        <is>
          <t>Certifications</t>
        </is>
      </c>
      <c r="D82" s="8" t="inlineStr">
        <is>
          <t>Add certificate with expiry</t>
        </is>
      </c>
      <c r="E82" s="9" t="inlineStr">
        <is>
          <t>Functional</t>
        </is>
      </c>
      <c r="F82" s="9" t="inlineStr">
        <is>
          <t>Medium</t>
        </is>
      </c>
      <c r="G82" s="8" t="inlineStr">
        <is>
          <t>Employee exists</t>
        </is>
      </c>
      <c r="H82" s="8" t="inlineStr">
        <is>
          <t>1. Add a certificate + expiry</t>
        </is>
      </c>
      <c r="I82" s="8" t="inlineStr">
        <is>
          <t>expiry date</t>
        </is>
      </c>
      <c r="J82" s="8" t="inlineStr">
        <is>
          <t>Saved; expiry state colour-coded</t>
        </is>
      </c>
      <c r="K82" s="9" t="inlineStr">
        <is>
          <t>Not Run</t>
        </is>
      </c>
      <c r="L82" s="8" t="inlineStr"/>
      <c r="M82" s="8" t="inlineStr"/>
      <c r="N82" s="8" t="inlineStr"/>
    </row>
    <row r="83">
      <c r="A83" s="10" t="inlineStr">
        <is>
          <t>TC-HR-030</t>
        </is>
      </c>
      <c r="B83" s="10" t="inlineStr">
        <is>
          <t>HR</t>
        </is>
      </c>
      <c r="C83" s="10" t="inlineStr">
        <is>
          <t>Compliance</t>
        </is>
      </c>
      <c r="D83" s="10" t="inlineStr">
        <is>
          <t>Expiry report colour coding</t>
        </is>
      </c>
      <c r="E83" s="11" t="inlineStr">
        <is>
          <t>Functional</t>
        </is>
      </c>
      <c r="F83" s="11" t="inlineStr">
        <is>
          <t>High</t>
        </is>
      </c>
      <c r="G83" s="10" t="inlineStr">
        <is>
          <t>Docs with expiries</t>
        </is>
      </c>
      <c r="H83" s="10" t="inlineStr">
        <is>
          <t>1. HR &gt; Compliance</t>
        </is>
      </c>
      <c r="I83" s="10" t="inlineStr">
        <is>
          <t>-</t>
        </is>
      </c>
      <c r="J83" s="10" t="inlineStr">
        <is>
          <t>Expired=red, &lt;=60d=amber, valid=green; sorted soonest first</t>
        </is>
      </c>
      <c r="K83" s="11" t="inlineStr">
        <is>
          <t>Not Run</t>
        </is>
      </c>
      <c r="L83" s="10" t="inlineStr"/>
      <c r="M83" s="10" t="inlineStr"/>
      <c r="N83" s="10" t="inlineStr"/>
    </row>
    <row r="84">
      <c r="A84" s="8" t="inlineStr">
        <is>
          <t>TC-HR-031</t>
        </is>
      </c>
      <c r="B84" s="8" t="inlineStr">
        <is>
          <t>HR</t>
        </is>
      </c>
      <c r="C84" s="8" t="inlineStr">
        <is>
          <t>Compliance</t>
        </is>
      </c>
      <c r="D84" s="8" t="inlineStr">
        <is>
          <t>Headcount own vs supplied</t>
        </is>
      </c>
      <c r="E84" s="9" t="inlineStr">
        <is>
          <t>Functional</t>
        </is>
      </c>
      <c r="F84" s="9" t="inlineStr">
        <is>
          <t>Low</t>
        </is>
      </c>
      <c r="G84" s="8" t="inlineStr">
        <is>
          <t>Mixed workforce</t>
        </is>
      </c>
      <c r="H84" s="8" t="inlineStr">
        <is>
          <t>1. HR &gt; Compliance</t>
        </is>
      </c>
      <c r="I84" s="8" t="inlineStr">
        <is>
          <t>-</t>
        </is>
      </c>
      <c r="J84" s="8" t="inlineStr">
        <is>
          <t>Headcount split by own vs supplied and by company</t>
        </is>
      </c>
      <c r="K84" s="9" t="inlineStr">
        <is>
          <t>Not Run</t>
        </is>
      </c>
      <c r="L84" s="8" t="inlineStr"/>
      <c r="M84" s="8" t="inlineStr"/>
      <c r="N84" s="8" t="inlineStr"/>
    </row>
    <row r="85">
      <c r="A85" s="10" t="inlineStr">
        <is>
          <t>TC-HR-032</t>
        </is>
      </c>
      <c r="B85" s="10" t="inlineStr">
        <is>
          <t>HR</t>
        </is>
      </c>
      <c r="C85" s="10" t="inlineStr">
        <is>
          <t>Separation</t>
        </is>
      </c>
      <c r="D85" s="10" t="inlineStr">
        <is>
          <t>Gratuity for 3 years</t>
        </is>
      </c>
      <c r="E85" s="11" t="inlineStr">
        <is>
          <t>Functional</t>
        </is>
      </c>
      <c r="F85" s="11" t="inlineStr">
        <is>
          <t>High</t>
        </is>
      </c>
      <c r="G85" s="10" t="inlineStr">
        <is>
          <t>Employee 3y, basic 10000</t>
        </is>
      </c>
      <c r="H85" s="10" t="inlineStr">
        <is>
          <t>1. HR &gt; Separation
2. Pick employee, last day</t>
        </is>
      </c>
      <c r="I85" s="10" t="inlineStr">
        <is>
          <t>3y, basic 10000</t>
        </is>
      </c>
      <c r="J85" s="10" t="inlineStr">
        <is>
          <t>Gratuity ~ 21 days x 3 x daily basic (~AED 21,000)</t>
        </is>
      </c>
      <c r="K85" s="11" t="inlineStr">
        <is>
          <t>Not Run</t>
        </is>
      </c>
      <c r="L85" s="10" t="inlineStr"/>
      <c r="M85" s="10" t="inlineStr"/>
      <c r="N85" s="10" t="inlineStr"/>
    </row>
    <row r="86">
      <c r="A86" s="8" t="inlineStr">
        <is>
          <t>TC-HR-033</t>
        </is>
      </c>
      <c r="B86" s="8" t="inlineStr">
        <is>
          <t>HR</t>
        </is>
      </c>
      <c r="C86" s="8" t="inlineStr">
        <is>
          <t>Separation</t>
        </is>
      </c>
      <c r="D86" s="8" t="inlineStr">
        <is>
          <t>Gratuity beyond 5 years</t>
        </is>
      </c>
      <c r="E86" s="9" t="inlineStr">
        <is>
          <t>Functional</t>
        </is>
      </c>
      <c r="F86" s="9" t="inlineStr">
        <is>
          <t>High</t>
        </is>
      </c>
      <c r="G86" s="8" t="inlineStr">
        <is>
          <t>Employee 7y, basic 10000</t>
        </is>
      </c>
      <c r="H86" s="8" t="inlineStr">
        <is>
          <t>1. Record separation</t>
        </is>
      </c>
      <c r="I86" s="8" t="inlineStr">
        <is>
          <t>7y</t>
        </is>
      </c>
      <c r="J86" s="8" t="inlineStr">
        <is>
          <t>5x21 + 2x30 = 165 days (~AED 55,000)</t>
        </is>
      </c>
      <c r="K86" s="9" t="inlineStr">
        <is>
          <t>Not Run</t>
        </is>
      </c>
      <c r="L86" s="8" t="inlineStr"/>
      <c r="M86" s="8" t="inlineStr"/>
      <c r="N86" s="8" t="inlineStr"/>
    </row>
    <row r="87">
      <c r="A87" s="10" t="inlineStr">
        <is>
          <t>TC-HR-034</t>
        </is>
      </c>
      <c r="B87" s="10" t="inlineStr">
        <is>
          <t>HR</t>
        </is>
      </c>
      <c r="C87" s="10" t="inlineStr">
        <is>
          <t>Separation</t>
        </is>
      </c>
      <c r="D87" s="10" t="inlineStr">
        <is>
          <t>Under 1 year = no gratuity</t>
        </is>
      </c>
      <c r="E87" s="11" t="inlineStr">
        <is>
          <t>Functional</t>
        </is>
      </c>
      <c r="F87" s="11" t="inlineStr">
        <is>
          <t>High</t>
        </is>
      </c>
      <c r="G87" s="10" t="inlineStr">
        <is>
          <t>Employee &lt;1y</t>
        </is>
      </c>
      <c r="H87" s="10" t="inlineStr">
        <is>
          <t>1. Record separation</t>
        </is>
      </c>
      <c r="I87" s="10" t="inlineStr">
        <is>
          <t>6 months</t>
        </is>
      </c>
      <c r="J87" s="10" t="inlineStr">
        <is>
          <t>Gratuity = 0 (not eligible)</t>
        </is>
      </c>
      <c r="K87" s="11" t="inlineStr">
        <is>
          <t>Not Run</t>
        </is>
      </c>
      <c r="L87" s="10" t="inlineStr"/>
      <c r="M87" s="10" t="inlineStr"/>
      <c r="N87" s="10" t="inlineStr"/>
    </row>
    <row r="88">
      <c r="A88" s="8" t="inlineStr">
        <is>
          <t>TC-HR-035</t>
        </is>
      </c>
      <c r="B88" s="8" t="inlineStr">
        <is>
          <t>HR</t>
        </is>
      </c>
      <c r="C88" s="8" t="inlineStr">
        <is>
          <t>Separation</t>
        </is>
      </c>
      <c r="D88" s="8" t="inlineStr">
        <is>
          <t>Gratuity capped at 2 years' pay</t>
        </is>
      </c>
      <c r="E88" s="9" t="inlineStr">
        <is>
          <t>Functional</t>
        </is>
      </c>
      <c r="F88" s="9" t="inlineStr">
        <is>
          <t>Medium</t>
        </is>
      </c>
      <c r="G88" s="8" t="inlineStr">
        <is>
          <t>Very long service</t>
        </is>
      </c>
      <c r="H88" s="8" t="inlineStr">
        <is>
          <t>1. Record separation</t>
        </is>
      </c>
      <c r="I88" s="8" t="inlineStr">
        <is>
          <t>30y, basic 10000</t>
        </is>
      </c>
      <c r="J88" s="8" t="inlineStr">
        <is>
          <t>Gratuity capped at AED 240,000</t>
        </is>
      </c>
      <c r="K88" s="9" t="inlineStr">
        <is>
          <t>Not Run</t>
        </is>
      </c>
      <c r="L88" s="8" t="inlineStr"/>
      <c r="M88" s="8" t="inlineStr"/>
      <c r="N88" s="8" t="inlineStr"/>
    </row>
    <row r="89">
      <c r="A89" s="10" t="inlineStr">
        <is>
          <t>TC-HR-036</t>
        </is>
      </c>
      <c r="B89" s="10" t="inlineStr">
        <is>
          <t>HR</t>
        </is>
      </c>
      <c r="C89" s="10" t="inlineStr">
        <is>
          <t>Separation</t>
        </is>
      </c>
      <c r="D89" s="10" t="inlineStr">
        <is>
          <t>Misconduct forfeits gratuity</t>
        </is>
      </c>
      <c r="E89" s="11" t="inlineStr">
        <is>
          <t>Functional</t>
        </is>
      </c>
      <c r="F89" s="11" t="inlineStr">
        <is>
          <t>High</t>
        </is>
      </c>
      <c r="G89" s="10" t="inlineStr">
        <is>
          <t>Eligible employee</t>
        </is>
      </c>
      <c r="H89" s="10" t="inlineStr">
        <is>
          <t>1. Type = Termination (Misconduct)</t>
        </is>
      </c>
      <c r="I89" s="10" t="inlineStr">
        <is>
          <t>-</t>
        </is>
      </c>
      <c r="J89" s="10" t="inlineStr">
        <is>
          <t>Gratuity = 0 (forfeited)</t>
        </is>
      </c>
      <c r="K89" s="11" t="inlineStr">
        <is>
          <t>Not Run</t>
        </is>
      </c>
      <c r="L89" s="10" t="inlineStr"/>
      <c r="M89" s="10" t="inlineStr"/>
      <c r="N89" s="10" t="inlineStr"/>
    </row>
    <row r="90">
      <c r="A90" s="8" t="inlineStr">
        <is>
          <t>TC-HR-037</t>
        </is>
      </c>
      <c r="B90" s="8" t="inlineStr">
        <is>
          <t>HR</t>
        </is>
      </c>
      <c r="C90" s="8" t="inlineStr">
        <is>
          <t>Separation</t>
        </is>
      </c>
      <c r="D90" s="8" t="inlineStr">
        <is>
          <t>Resignation == Termination gratuity</t>
        </is>
      </c>
      <c r="E90" s="9" t="inlineStr">
        <is>
          <t>Functional</t>
        </is>
      </c>
      <c r="F90" s="9" t="inlineStr">
        <is>
          <t>Medium</t>
        </is>
      </c>
      <c r="G90" s="8" t="inlineStr">
        <is>
          <t>Same employee/service</t>
        </is>
      </c>
      <c r="H90" s="8" t="inlineStr">
        <is>
          <t>1. Compare both types</t>
        </is>
      </c>
      <c r="I90" s="8" t="inlineStr">
        <is>
          <t>-</t>
        </is>
      </c>
      <c r="J90" s="8" t="inlineStr">
        <is>
          <t>Same gratuity amount (current UAE law)</t>
        </is>
      </c>
      <c r="K90" s="9" t="inlineStr">
        <is>
          <t>Not Run</t>
        </is>
      </c>
      <c r="L90" s="8" t="inlineStr"/>
      <c r="M90" s="8" t="inlineStr"/>
      <c r="N90" s="8" t="inlineStr"/>
    </row>
    <row r="91">
      <c r="A91" s="10" t="inlineStr">
        <is>
          <t>TC-HR-038</t>
        </is>
      </c>
      <c r="B91" s="10" t="inlineStr">
        <is>
          <t>HR</t>
        </is>
      </c>
      <c r="C91" s="10" t="inlineStr">
        <is>
          <t>Separation</t>
        </is>
      </c>
      <c r="D91" s="10" t="inlineStr">
        <is>
          <t>Leave encashment</t>
        </is>
      </c>
      <c r="E91" s="11" t="inlineStr">
        <is>
          <t>Functional</t>
        </is>
      </c>
      <c r="F91" s="11" t="inlineStr">
        <is>
          <t>High</t>
        </is>
      </c>
      <c r="G91" s="10" t="inlineStr">
        <is>
          <t>Leave balance &gt; 0</t>
        </is>
      </c>
      <c r="H91" s="10" t="inlineStr">
        <is>
          <t>1. Record separation</t>
        </is>
      </c>
      <c r="I91" s="10" t="inlineStr">
        <is>
          <t>30 days, basic 9000</t>
        </is>
      </c>
      <c r="J91" s="10" t="inlineStr">
        <is>
          <t>Encashment = 30 x (basic/30) = AED 9,000</t>
        </is>
      </c>
      <c r="K91" s="11" t="inlineStr">
        <is>
          <t>Not Run</t>
        </is>
      </c>
      <c r="L91" s="10" t="inlineStr"/>
      <c r="M91" s="10" t="inlineStr"/>
      <c r="N91" s="10" t="inlineStr"/>
    </row>
    <row r="92">
      <c r="A92" s="8" t="inlineStr">
        <is>
          <t>TC-HR-039</t>
        </is>
      </c>
      <c r="B92" s="8" t="inlineStr">
        <is>
          <t>HR</t>
        </is>
      </c>
      <c r="C92" s="8" t="inlineStr">
        <is>
          <t>Separation</t>
        </is>
      </c>
      <c r="D92" s="8" t="inlineStr">
        <is>
          <t>HR adjustments affect net</t>
        </is>
      </c>
      <c r="E92" s="9" t="inlineStr">
        <is>
          <t>Functional</t>
        </is>
      </c>
      <c r="F92" s="9" t="inlineStr">
        <is>
          <t>High</t>
        </is>
      </c>
      <c r="G92" s="8" t="inlineStr">
        <is>
          <t>Separation form</t>
        </is>
      </c>
      <c r="H92" s="8" t="inlineStr">
        <is>
          <t>1. Add pending salary, deduction, manual adjustment</t>
        </is>
      </c>
      <c r="I92" s="8" t="inlineStr">
        <is>
          <t>+5000 / -2000 / +500</t>
        </is>
      </c>
      <c r="J92" s="8" t="inlineStr">
        <is>
          <t>Net updates live and on save</t>
        </is>
      </c>
      <c r="K92" s="9" t="inlineStr">
        <is>
          <t>Not Run</t>
        </is>
      </c>
      <c r="L92" s="8" t="inlineStr"/>
      <c r="M92" s="8" t="inlineStr"/>
      <c r="N92" s="8" t="inlineStr"/>
    </row>
    <row r="93">
      <c r="A93" s="10" t="inlineStr">
        <is>
          <t>TC-HR-040</t>
        </is>
      </c>
      <c r="B93" s="10" t="inlineStr">
        <is>
          <t>HR</t>
        </is>
      </c>
      <c r="C93" s="10" t="inlineStr">
        <is>
          <t>Separation</t>
        </is>
      </c>
      <c r="D93" s="10" t="inlineStr">
        <is>
          <t>Saving marks employee inactive</t>
        </is>
      </c>
      <c r="E93" s="11" t="inlineStr">
        <is>
          <t>Functional</t>
        </is>
      </c>
      <c r="F93" s="11" t="inlineStr">
        <is>
          <t>Medium</t>
        </is>
      </c>
      <c r="G93" s="10" t="inlineStr">
        <is>
          <t>Active employee</t>
        </is>
      </c>
      <c r="H93" s="10" t="inlineStr">
        <is>
          <t>1. Record separation</t>
        </is>
      </c>
      <c r="I93" s="10" t="inlineStr">
        <is>
          <t>-</t>
        </is>
      </c>
      <c r="J93" s="10" t="inlineStr">
        <is>
          <t>Employee status becomes Inactive; record stored</t>
        </is>
      </c>
      <c r="K93" s="11" t="inlineStr">
        <is>
          <t>Not Run</t>
        </is>
      </c>
      <c r="L93" s="10" t="inlineStr"/>
      <c r="M93" s="10" t="inlineStr"/>
      <c r="N93" s="10" t="inlineStr"/>
    </row>
    <row r="94">
      <c r="A94" s="8" t="inlineStr">
        <is>
          <t>TC-HR-041</t>
        </is>
      </c>
      <c r="B94" s="8" t="inlineStr">
        <is>
          <t>HR</t>
        </is>
      </c>
      <c r="C94" s="8" t="inlineStr">
        <is>
          <t>Separation</t>
        </is>
      </c>
      <c r="D94" s="8" t="inlineStr">
        <is>
          <t>Delete reactivates employee</t>
        </is>
      </c>
      <c r="E94" s="9" t="inlineStr">
        <is>
          <t>Functional</t>
        </is>
      </c>
      <c r="F94" s="9" t="inlineStr">
        <is>
          <t>Low</t>
        </is>
      </c>
      <c r="G94" s="8" t="inlineStr">
        <is>
          <t>Separation exists</t>
        </is>
      </c>
      <c r="H94" s="8" t="inlineStr">
        <is>
          <t>1. Delete the settlement record</t>
        </is>
      </c>
      <c r="I94" s="8" t="inlineStr">
        <is>
          <t>-</t>
        </is>
      </c>
      <c r="J94" s="8" t="inlineStr">
        <is>
          <t>Employee set back to Active</t>
        </is>
      </c>
      <c r="K94" s="9" t="inlineStr">
        <is>
          <t>Not Run</t>
        </is>
      </c>
      <c r="L94" s="8" t="inlineStr"/>
      <c r="M94" s="8" t="inlineStr"/>
      <c r="N94" s="8" t="inlineStr"/>
    </row>
    <row r="95">
      <c r="A95" s="10" t="inlineStr">
        <is>
          <t>TC-HR-042</t>
        </is>
      </c>
      <c r="B95" s="10" t="inlineStr">
        <is>
          <t>HR</t>
        </is>
      </c>
      <c r="C95" s="10" t="inlineStr">
        <is>
          <t>Statement</t>
        </is>
      </c>
      <c r="D95" s="10" t="inlineStr">
        <is>
          <t>Print / Save as PDF statement</t>
        </is>
      </c>
      <c r="E95" s="11" t="inlineStr">
        <is>
          <t>Functional</t>
        </is>
      </c>
      <c r="F95" s="11" t="inlineStr">
        <is>
          <t>High</t>
        </is>
      </c>
      <c r="G95" s="10" t="inlineStr">
        <is>
          <t>Separation exists</t>
        </is>
      </c>
      <c r="H95" s="10" t="inlineStr">
        <is>
          <t>1. Settlement records &gt; Statement
2. Print / Save as PDF</t>
        </is>
      </c>
      <c r="I95" s="10" t="inlineStr">
        <is>
          <t>-</t>
        </is>
      </c>
      <c r="J95" s="10" t="inlineStr">
        <is>
          <t>Clean statement with breakdown, declaration and signature blocks; prints to PDF</t>
        </is>
      </c>
      <c r="K95" s="11" t="inlineStr">
        <is>
          <t>Not Run</t>
        </is>
      </c>
      <c r="L95" s="10" t="inlineStr"/>
      <c r="M95" s="10" t="inlineStr"/>
      <c r="N95" s="10" t="inlineStr"/>
    </row>
    <row r="96">
      <c r="A96" s="8" t="inlineStr">
        <is>
          <t>TC-HR-043</t>
        </is>
      </c>
      <c r="B96" s="8" t="inlineStr">
        <is>
          <t>HR</t>
        </is>
      </c>
      <c r="C96" s="8" t="inlineStr">
        <is>
          <t>Job Assignments</t>
        </is>
      </c>
      <c r="D96" s="8" t="inlineStr">
        <is>
          <t>Create &amp; track a task</t>
        </is>
      </c>
      <c r="E96" s="9" t="inlineStr">
        <is>
          <t>Functional</t>
        </is>
      </c>
      <c r="F96" s="9" t="inlineStr">
        <is>
          <t>Medium</t>
        </is>
      </c>
      <c r="G96" s="8" t="inlineStr">
        <is>
          <t>HR access</t>
        </is>
      </c>
      <c r="H96" s="8" t="inlineStr">
        <is>
          <t>1. HR &gt; Job Assignments &gt; add
2. Change status</t>
        </is>
      </c>
      <c r="I96" s="8" t="inlineStr">
        <is>
          <t>-</t>
        </is>
      </c>
      <c r="J96" s="8" t="inlineStr">
        <is>
          <t>Task created; status/priority/due tracked</t>
        </is>
      </c>
      <c r="K96" s="9" t="inlineStr">
        <is>
          <t>Not Run</t>
        </is>
      </c>
      <c r="L96" s="8" t="inlineStr"/>
      <c r="M96" s="8" t="inlineStr"/>
      <c r="N96" s="8" t="inlineStr"/>
    </row>
    <row r="97">
      <c r="A97" s="10" t="inlineStr">
        <is>
          <t>TC-APR-001</t>
        </is>
      </c>
      <c r="B97" s="10" t="inlineStr">
        <is>
          <t>Approvals</t>
        </is>
      </c>
      <c r="C97" s="10" t="inlineStr">
        <is>
          <t>Raise</t>
        </is>
      </c>
      <c r="D97" s="10" t="inlineStr">
        <is>
          <t>Raise a request routes to approvers</t>
        </is>
      </c>
      <c r="E97" s="11" t="inlineStr">
        <is>
          <t>Functional</t>
        </is>
      </c>
      <c r="F97" s="11" t="inlineStr">
        <is>
          <t>High</t>
        </is>
      </c>
      <c r="G97" s="10" t="inlineStr">
        <is>
          <t>Approval route configured</t>
        </is>
      </c>
      <c r="H97" s="10" t="inlineStr">
        <is>
          <t>1. Raise a request</t>
        </is>
      </c>
      <c r="I97" s="10" t="inlineStr">
        <is>
          <t>Purchase Order</t>
        </is>
      </c>
      <c r="J97" s="10" t="inlineStr">
        <is>
          <t>Request appears for the first approver</t>
        </is>
      </c>
      <c r="K97" s="11" t="inlineStr">
        <is>
          <t>Not Run</t>
        </is>
      </c>
      <c r="L97" s="10" t="inlineStr"/>
      <c r="M97" s="10" t="inlineStr"/>
      <c r="N97" s="10" t="inlineStr"/>
    </row>
    <row r="98">
      <c r="A98" s="8" t="inlineStr">
        <is>
          <t>TC-APR-002</t>
        </is>
      </c>
      <c r="B98" s="8" t="inlineStr">
        <is>
          <t>Approvals</t>
        </is>
      </c>
      <c r="C98" s="8" t="inlineStr">
        <is>
          <t>Act</t>
        </is>
      </c>
      <c r="D98" s="8" t="inlineStr">
        <is>
          <t>Approve moves to next level</t>
        </is>
      </c>
      <c r="E98" s="9" t="inlineStr">
        <is>
          <t>Functional</t>
        </is>
      </c>
      <c r="F98" s="9" t="inlineStr">
        <is>
          <t>High</t>
        </is>
      </c>
      <c r="G98" s="8" t="inlineStr">
        <is>
          <t>Pending request</t>
        </is>
      </c>
      <c r="H98" s="8" t="inlineStr">
        <is>
          <t>1. Approve as level 1</t>
        </is>
      </c>
      <c r="I98" s="8" t="inlineStr">
        <is>
          <t>-</t>
        </is>
      </c>
      <c r="J98" s="8" t="inlineStr">
        <is>
          <t>Moves to next approver; final approval completes it</t>
        </is>
      </c>
      <c r="K98" s="9" t="inlineStr">
        <is>
          <t>Not Run</t>
        </is>
      </c>
      <c r="L98" s="8" t="inlineStr"/>
      <c r="M98" s="8" t="inlineStr"/>
      <c r="N98" s="8" t="inlineStr"/>
    </row>
    <row r="99">
      <c r="A99" s="10" t="inlineStr">
        <is>
          <t>TC-APR-003</t>
        </is>
      </c>
      <c r="B99" s="10" t="inlineStr">
        <is>
          <t>Approvals</t>
        </is>
      </c>
      <c r="C99" s="10" t="inlineStr">
        <is>
          <t>Act</t>
        </is>
      </c>
      <c r="D99" s="10" t="inlineStr">
        <is>
          <t>Reject stops the request</t>
        </is>
      </c>
      <c r="E99" s="11" t="inlineStr">
        <is>
          <t>Functional</t>
        </is>
      </c>
      <c r="F99" s="11" t="inlineStr">
        <is>
          <t>Medium</t>
        </is>
      </c>
      <c r="G99" s="10" t="inlineStr">
        <is>
          <t>Pending request</t>
        </is>
      </c>
      <c r="H99" s="10" t="inlineStr">
        <is>
          <t>1. Reject</t>
        </is>
      </c>
      <c r="I99" s="10" t="inlineStr">
        <is>
          <t>-</t>
        </is>
      </c>
      <c r="J99" s="10" t="inlineStr">
        <is>
          <t>Request marked rejected; requester notified</t>
        </is>
      </c>
      <c r="K99" s="11" t="inlineStr">
        <is>
          <t>Not Run</t>
        </is>
      </c>
      <c r="L99" s="10" t="inlineStr"/>
      <c r="M99" s="10" t="inlineStr"/>
      <c r="N99" s="10" t="inlineStr"/>
    </row>
    <row r="100">
      <c r="A100" s="8" t="inlineStr">
        <is>
          <t>TC-APR-004</t>
        </is>
      </c>
      <c r="B100" s="8" t="inlineStr">
        <is>
          <t>Approvals</t>
        </is>
      </c>
      <c r="C100" s="8" t="inlineStr">
        <is>
          <t>Routes</t>
        </is>
      </c>
      <c r="D100" s="8" t="inlineStr">
        <is>
          <t>Value-gated step</t>
        </is>
      </c>
      <c r="E100" s="9" t="inlineStr">
        <is>
          <t>Functional</t>
        </is>
      </c>
      <c r="F100" s="9" t="inlineStr">
        <is>
          <t>Medium</t>
        </is>
      </c>
      <c r="G100" s="8" t="inlineStr">
        <is>
          <t>Route with min amount</t>
        </is>
      </c>
      <c r="H100" s="8" t="inlineStr">
        <is>
          <t>1. Raise request above/below threshold</t>
        </is>
      </c>
      <c r="I100" s="8" t="inlineStr">
        <is>
          <t>&gt; AED 50,000</t>
        </is>
      </c>
      <c r="J100" s="8" t="inlineStr">
        <is>
          <t>High-value step only triggers above the threshold</t>
        </is>
      </c>
      <c r="K100" s="9" t="inlineStr">
        <is>
          <t>Not Run</t>
        </is>
      </c>
      <c r="L100" s="8" t="inlineStr"/>
      <c r="M100" s="8" t="inlineStr"/>
      <c r="N100" s="8" t="inlineStr"/>
    </row>
    <row r="101">
      <c r="A101" s="10" t="inlineStr">
        <is>
          <t>TC-ADM-001</t>
        </is>
      </c>
      <c r="B101" s="10" t="inlineStr">
        <is>
          <t>Admin</t>
        </is>
      </c>
      <c r="C101" s="10" t="inlineStr">
        <is>
          <t>Users</t>
        </is>
      </c>
      <c r="D101" s="10" t="inlineStr">
        <is>
          <t>Add user with role per company</t>
        </is>
      </c>
      <c r="E101" s="11" t="inlineStr">
        <is>
          <t>Functional</t>
        </is>
      </c>
      <c r="F101" s="11" t="inlineStr">
        <is>
          <t>High</t>
        </is>
      </c>
      <c r="G101" s="10" t="inlineStr">
        <is>
          <t>Admin</t>
        </is>
      </c>
      <c r="H101" s="10" t="inlineStr">
        <is>
          <t>1. Users &gt; Add user</t>
        </is>
      </c>
      <c r="I101" s="10" t="inlineStr">
        <is>
          <t>name/email/role/company</t>
        </is>
      </c>
      <c r="J101" s="10" t="inlineStr">
        <is>
          <t>User created and can log in</t>
        </is>
      </c>
      <c r="K101" s="11" t="inlineStr">
        <is>
          <t>Not Run</t>
        </is>
      </c>
      <c r="L101" s="10" t="inlineStr"/>
      <c r="M101" s="10" t="inlineStr"/>
      <c r="N101" s="10" t="inlineStr"/>
    </row>
    <row r="102">
      <c r="A102" s="8" t="inlineStr">
        <is>
          <t>TC-ADM-002</t>
        </is>
      </c>
      <c r="B102" s="8" t="inlineStr">
        <is>
          <t>Admin</t>
        </is>
      </c>
      <c r="C102" s="8" t="inlineStr">
        <is>
          <t>Users</t>
        </is>
      </c>
      <c r="D102" s="8" t="inlineStr">
        <is>
          <t>Cannot delete self / in-use guard</t>
        </is>
      </c>
      <c r="E102" s="9" t="inlineStr">
        <is>
          <t>Negative</t>
        </is>
      </c>
      <c r="F102" s="9" t="inlineStr">
        <is>
          <t>Medium</t>
        </is>
      </c>
      <c r="G102" s="8" t="inlineStr">
        <is>
          <t>Admin</t>
        </is>
      </c>
      <c r="H102" s="8" t="inlineStr">
        <is>
          <t>1. Try to delete own account / role in use</t>
        </is>
      </c>
      <c r="I102" s="8" t="inlineStr">
        <is>
          <t>-</t>
        </is>
      </c>
      <c r="J102" s="8" t="inlineStr">
        <is>
          <t>Blocked with a clear message</t>
        </is>
      </c>
      <c r="K102" s="9" t="inlineStr">
        <is>
          <t>Not Run</t>
        </is>
      </c>
      <c r="L102" s="8" t="inlineStr"/>
      <c r="M102" s="8" t="inlineStr"/>
      <c r="N102" s="8" t="inlineStr"/>
    </row>
    <row r="103">
      <c r="A103" s="10" t="inlineStr">
        <is>
          <t>TC-ADM-003</t>
        </is>
      </c>
      <c r="B103" s="10" t="inlineStr">
        <is>
          <t>Admin</t>
        </is>
      </c>
      <c r="C103" s="10" t="inlineStr">
        <is>
          <t>Master Data</t>
        </is>
      </c>
      <c r="D103" s="10" t="inlineStr">
        <is>
          <t>Add &amp; delete master item</t>
        </is>
      </c>
      <c r="E103" s="11" t="inlineStr">
        <is>
          <t>Functional</t>
        </is>
      </c>
      <c r="F103" s="11" t="inlineStr">
        <is>
          <t>Medium</t>
        </is>
      </c>
      <c r="G103" s="10" t="inlineStr">
        <is>
          <t>Admin</t>
        </is>
      </c>
      <c r="H103" s="10" t="inlineStr">
        <is>
          <t>1. Master Data &gt; add a Department
2. Delete it</t>
        </is>
      </c>
      <c r="I103" s="10" t="inlineStr">
        <is>
          <t>-</t>
        </is>
      </c>
      <c r="J103" s="10" t="inlineStr">
        <is>
          <t>Item added; duplicate blocked; delete works</t>
        </is>
      </c>
      <c r="K103" s="11" t="inlineStr">
        <is>
          <t>Not Run</t>
        </is>
      </c>
      <c r="L103" s="10" t="inlineStr"/>
      <c r="M103" s="10" t="inlineStr"/>
      <c r="N103" s="10" t="inlineStr"/>
    </row>
    <row r="104">
      <c r="A104" s="8" t="inlineStr">
        <is>
          <t>TC-NOT-001</t>
        </is>
      </c>
      <c r="B104" s="8" t="inlineStr">
        <is>
          <t>Notifications</t>
        </is>
      </c>
      <c r="C104" s="8" t="inlineStr">
        <is>
          <t>Bell</t>
        </is>
      </c>
      <c r="D104" s="8" t="inlineStr">
        <is>
          <t>Unread count &amp; mark read</t>
        </is>
      </c>
      <c r="E104" s="9" t="inlineStr">
        <is>
          <t>Functional</t>
        </is>
      </c>
      <c r="F104" s="9" t="inlineStr">
        <is>
          <t>Medium</t>
        </is>
      </c>
      <c r="G104" s="8" t="inlineStr">
        <is>
          <t>Notifications exist</t>
        </is>
      </c>
      <c r="H104" s="8" t="inlineStr">
        <is>
          <t>1. Check bell badge
2. Open Notifications
3. Mark all read</t>
        </is>
      </c>
      <c r="I104" s="8" t="inlineStr">
        <is>
          <t>-</t>
        </is>
      </c>
      <c r="J104" s="8" t="inlineStr">
        <is>
          <t>Badge shows unread count; marking read clears it</t>
        </is>
      </c>
      <c r="K104" s="9" t="inlineStr">
        <is>
          <t>Not Run</t>
        </is>
      </c>
      <c r="L104" s="8" t="inlineStr"/>
      <c r="M104" s="8" t="inlineStr"/>
      <c r="N104" s="8" t="inlineStr"/>
    </row>
    <row r="105">
      <c r="A105" s="10" t="inlineStr">
        <is>
          <t>TC-NOT-002</t>
        </is>
      </c>
      <c r="B105" s="10" t="inlineStr">
        <is>
          <t>Notifications</t>
        </is>
      </c>
      <c r="C105" s="10" t="inlineStr">
        <is>
          <t>Alerts</t>
        </is>
      </c>
      <c r="D105" s="10" t="inlineStr">
        <is>
          <t>Alert rows navigate</t>
        </is>
      </c>
      <c r="E105" s="11" t="inlineStr">
        <is>
          <t>Functional</t>
        </is>
      </c>
      <c r="F105" s="11" t="inlineStr">
        <is>
          <t>Medium</t>
        </is>
      </c>
      <c r="G105" s="10" t="inlineStr">
        <is>
          <t>Alerts exist</t>
        </is>
      </c>
      <c r="H105" s="10" t="inlineStr">
        <is>
          <t>1. Click a document/cert/task alert</t>
        </is>
      </c>
      <c r="I105" s="10" t="inlineStr">
        <is>
          <t>-</t>
        </is>
      </c>
      <c r="J105" s="10" t="inlineStr">
        <is>
          <t>Opens the relevant screen</t>
        </is>
      </c>
      <c r="K105" s="11" t="inlineStr">
        <is>
          <t>Not Run</t>
        </is>
      </c>
      <c r="L105" s="10" t="inlineStr"/>
      <c r="M105" s="10" t="inlineStr"/>
      <c r="N105" s="10" t="inlineStr"/>
    </row>
    <row r="106">
      <c r="A106" s="8" t="inlineStr">
        <is>
          <t>TC-HLP-001</t>
        </is>
      </c>
      <c r="B106" s="8" t="inlineStr">
        <is>
          <t>Help</t>
        </is>
      </c>
      <c r="C106" s="8" t="inlineStr">
        <is>
          <t>Help Center</t>
        </is>
      </c>
      <c r="D106" s="8" t="inlineStr">
        <is>
          <t>Search help</t>
        </is>
      </c>
      <c r="E106" s="9" t="inlineStr">
        <is>
          <t>Functional</t>
        </is>
      </c>
      <c r="F106" s="9" t="inlineStr">
        <is>
          <t>Low</t>
        </is>
      </c>
      <c r="G106" s="8" t="inlineStr">
        <is>
          <t>Any user</t>
        </is>
      </c>
      <c r="H106" s="8" t="inlineStr">
        <is>
          <t>1. Help Center &gt; search a term</t>
        </is>
      </c>
      <c r="I106" s="8" t="inlineStr">
        <is>
          <t>'reset password'</t>
        </is>
      </c>
      <c r="J106" s="8" t="inlineStr">
        <is>
          <t>Relevant articles returned</t>
        </is>
      </c>
      <c r="K106" s="9" t="inlineStr">
        <is>
          <t>Not Run</t>
        </is>
      </c>
      <c r="L106" s="8" t="inlineStr"/>
      <c r="M106" s="8" t="inlineStr"/>
      <c r="N106" s="8" t="inlineStr"/>
    </row>
    <row r="107">
      <c r="A107" s="10" t="inlineStr">
        <is>
          <t>TC-HLP-002</t>
        </is>
      </c>
      <c r="B107" s="10" t="inlineStr">
        <is>
          <t>Help</t>
        </is>
      </c>
      <c r="C107" s="10" t="inlineStr">
        <is>
          <t>Contextual</t>
        </is>
      </c>
      <c r="D107" s="10" t="inlineStr">
        <is>
          <t>'?' shows page help</t>
        </is>
      </c>
      <c r="E107" s="11" t="inlineStr">
        <is>
          <t>Functional</t>
        </is>
      </c>
      <c r="F107" s="11" t="inlineStr">
        <is>
          <t>Low</t>
        </is>
      </c>
      <c r="G107" s="10" t="inlineStr">
        <is>
          <t>On any screen</t>
        </is>
      </c>
      <c r="H107" s="10" t="inlineStr">
        <is>
          <t>1. Click the '?' in the top bar</t>
        </is>
      </c>
      <c r="I107" s="10" t="inlineStr">
        <is>
          <t>on VAT page</t>
        </is>
      </c>
      <c r="J107" s="10" t="inlineStr">
        <is>
          <t>Panel opens with help for the current screen first</t>
        </is>
      </c>
      <c r="K107" s="11" t="inlineStr">
        <is>
          <t>Not Run</t>
        </is>
      </c>
      <c r="L107" s="10" t="inlineStr"/>
      <c r="M107" s="10" t="inlineStr"/>
      <c r="N107" s="10" t="inlineStr"/>
    </row>
    <row r="108">
      <c r="A108" s="8" t="inlineStr">
        <is>
          <t>TC-FIN-013</t>
        </is>
      </c>
      <c r="B108" s="8" t="inlineStr">
        <is>
          <t>Finance</t>
        </is>
      </c>
      <c r="C108" s="8" t="inlineStr">
        <is>
          <t>Opening balances</t>
        </is>
      </c>
      <c r="D108" s="8" t="inlineStr">
        <is>
          <t>Set the opening-balance date</t>
        </is>
      </c>
      <c r="E108" s="9" t="inlineStr">
        <is>
          <t>Functional</t>
        </is>
      </c>
      <c r="F108" s="9" t="inlineStr">
        <is>
          <t>High</t>
        </is>
      </c>
      <c r="G108" s="8" t="inlineStr">
        <is>
          <t>Admin, company exists</t>
        </is>
      </c>
      <c r="H108" s="8" t="inlineStr">
        <is>
          <t>1. Companies &amp; Group &gt; edit a company
2. Set Financial year starts and Opening balances as at
3. Save</t>
        </is>
      </c>
      <c r="I108" s="8" t="inlineStr">
        <is>
          <t>1 January</t>
        </is>
      </c>
      <c r="J108" s="8" t="inlineStr">
        <is>
          <t>Both values are saved and shown when the form is reopened</t>
        </is>
      </c>
      <c r="K108" s="9" t="inlineStr">
        <is>
          <t>Not Run</t>
        </is>
      </c>
      <c r="L108" s="8" t="inlineStr"/>
      <c r="M108" s="8" t="inlineStr"/>
      <c r="N108" s="8" t="inlineStr"/>
    </row>
    <row r="109">
      <c r="A109" s="10" t="inlineStr">
        <is>
          <t>TC-FIN-014</t>
        </is>
      </c>
      <c r="B109" s="10" t="inlineStr">
        <is>
          <t>Finance</t>
        </is>
      </c>
      <c r="C109" s="10" t="inlineStr">
        <is>
          <t>Opening balances</t>
        </is>
      </c>
      <c r="D109" s="10" t="inlineStr">
        <is>
          <t>Enter a debit opening balance</t>
        </is>
      </c>
      <c r="E109" s="11" t="inlineStr">
        <is>
          <t>Functional</t>
        </is>
      </c>
      <c r="F109" s="11" t="inlineStr">
        <is>
          <t>High</t>
        </is>
      </c>
      <c r="G109" s="10" t="inlineStr">
        <is>
          <t>Finance access</t>
        </is>
      </c>
      <c r="H109" s="10" t="inlineStr">
        <is>
          <t>1. Finance &gt; Overview &gt; pencil on Cash at Bank
2. Enter 150,000 and choose Dr
3. Save</t>
        </is>
      </c>
      <c r="I109" s="10" t="inlineStr">
        <is>
          <t>150000 Dr</t>
        </is>
      </c>
      <c r="J109" s="10" t="inlineStr">
        <is>
          <t>The trial balance shows 150,000 in the debit column for that account</t>
        </is>
      </c>
      <c r="K109" s="11" t="inlineStr">
        <is>
          <t>Not Run</t>
        </is>
      </c>
      <c r="L109" s="10" t="inlineStr"/>
      <c r="M109" s="10" t="inlineStr"/>
      <c r="N109" s="10" t="inlineStr"/>
    </row>
    <row r="110">
      <c r="A110" s="8" t="inlineStr">
        <is>
          <t>TC-FIN-015</t>
        </is>
      </c>
      <c r="B110" s="8" t="inlineStr">
        <is>
          <t>Finance</t>
        </is>
      </c>
      <c r="C110" s="8" t="inlineStr">
        <is>
          <t>Opening balances</t>
        </is>
      </c>
      <c r="D110" s="8" t="inlineStr">
        <is>
          <t>Enter a credit opening balance</t>
        </is>
      </c>
      <c r="E110" s="9" t="inlineStr">
        <is>
          <t>Functional</t>
        </is>
      </c>
      <c r="F110" s="9" t="inlineStr">
        <is>
          <t>High</t>
        </is>
      </c>
      <c r="G110" s="8" t="inlineStr">
        <is>
          <t>Finance access</t>
        </is>
      </c>
      <c r="H110" s="8" t="inlineStr">
        <is>
          <t>1. Edit Share Capital
2. Enter 100,000 and choose Cr
3. Save</t>
        </is>
      </c>
      <c r="I110" s="8" t="inlineStr">
        <is>
          <t>100000 Cr</t>
        </is>
      </c>
      <c r="J110" s="8" t="inlineStr">
        <is>
          <t>The trial balance shows 100,000 in the credit column</t>
        </is>
      </c>
      <c r="K110" s="9" t="inlineStr">
        <is>
          <t>Not Run</t>
        </is>
      </c>
      <c r="L110" s="8" t="inlineStr"/>
      <c r="M110" s="8" t="inlineStr"/>
      <c r="N110" s="8" t="inlineStr"/>
    </row>
    <row r="111">
      <c r="A111" s="10" t="inlineStr">
        <is>
          <t>TC-FIN-016</t>
        </is>
      </c>
      <c r="B111" s="10" t="inlineStr">
        <is>
          <t>Finance</t>
        </is>
      </c>
      <c r="C111" s="10" t="inlineStr">
        <is>
          <t>Opening balances</t>
        </is>
      </c>
      <c r="D111" s="10" t="inlineStr">
        <is>
          <t>Opening trial balance still balances</t>
        </is>
      </c>
      <c r="E111" s="11" t="inlineStr">
        <is>
          <t>Functional</t>
        </is>
      </c>
      <c r="F111" s="11" t="inlineStr">
        <is>
          <t>High</t>
        </is>
      </c>
      <c r="G111" s="10" t="inlineStr">
        <is>
          <t>Opening balances entered</t>
        </is>
      </c>
      <c r="H111" s="10" t="inlineStr">
        <is>
          <t>1. Enter a complete opening trial balance from the old system
2. Finance &gt; Overview</t>
        </is>
      </c>
      <c r="I111" s="10" t="inlineStr">
        <is>
          <t>Dr total = Cr total</t>
        </is>
      </c>
      <c r="J111" s="10" t="inlineStr">
        <is>
          <t>Total debits equal total credits; the difference is nil</t>
        </is>
      </c>
      <c r="K111" s="11" t="inlineStr">
        <is>
          <t>Not Run</t>
        </is>
      </c>
      <c r="L111" s="10" t="inlineStr"/>
      <c r="M111" s="10" t="inlineStr"/>
      <c r="N111" s="10" t="inlineStr"/>
    </row>
    <row r="112">
      <c r="A112" s="8" t="inlineStr">
        <is>
          <t>TC-FIN-017</t>
        </is>
      </c>
      <c r="B112" s="8" t="inlineStr">
        <is>
          <t>Finance</t>
        </is>
      </c>
      <c r="C112" s="8" t="inlineStr">
        <is>
          <t>Opening balances</t>
        </is>
      </c>
      <c r="D112" s="8" t="inlineStr">
        <is>
          <t>Opening appears on the ledger as brought forward</t>
        </is>
      </c>
      <c r="E112" s="9" t="inlineStr">
        <is>
          <t>Functional</t>
        </is>
      </c>
      <c r="F112" s="9" t="inlineStr">
        <is>
          <t>High</t>
        </is>
      </c>
      <c r="G112" s="8" t="inlineStr">
        <is>
          <t>Account has an opening balance</t>
        </is>
      </c>
      <c r="H112" s="8" t="inlineStr">
        <is>
          <t>1. Finance &gt; Ledgers &gt; pick that account</t>
        </is>
      </c>
      <c r="I112" s="8" t="inlineStr">
        <is>
          <t>-</t>
        </is>
      </c>
      <c r="J112" s="8" t="inlineStr">
        <is>
          <t>The first line reads Balance brought forward with the opening figure</t>
        </is>
      </c>
      <c r="K112" s="9" t="inlineStr">
        <is>
          <t>Not Run</t>
        </is>
      </c>
      <c r="L112" s="8" t="inlineStr"/>
      <c r="M112" s="8" t="inlineStr"/>
      <c r="N112" s="8" t="inlineStr"/>
    </row>
    <row r="113">
      <c r="A113" s="10" t="inlineStr">
        <is>
          <t>TC-FIN-018</t>
        </is>
      </c>
      <c r="B113" s="10" t="inlineStr">
        <is>
          <t>Finance</t>
        </is>
      </c>
      <c r="C113" s="10" t="inlineStr">
        <is>
          <t>Periods</t>
        </is>
      </c>
      <c r="D113" s="10" t="inlineStr">
        <is>
          <t>Reports open on the current financial year</t>
        </is>
      </c>
      <c r="E113" s="11" t="inlineStr">
        <is>
          <t>Functional</t>
        </is>
      </c>
      <c r="F113" s="11" t="inlineStr">
        <is>
          <t>High</t>
        </is>
      </c>
      <c r="G113" s="10" t="inlineStr">
        <is>
          <t>Finance access</t>
        </is>
      </c>
      <c r="H113" s="10" t="inlineStr">
        <is>
          <t>1. Finance &gt; Reports</t>
        </is>
      </c>
      <c r="I113" s="10" t="inlineStr">
        <is>
          <t>-</t>
        </is>
      </c>
      <c r="J113" s="10" t="inlineStr">
        <is>
          <t>The period bar shows the current financial year and the label names the dates</t>
        </is>
      </c>
      <c r="K113" s="11" t="inlineStr">
        <is>
          <t>Not Run</t>
        </is>
      </c>
      <c r="L113" s="10" t="inlineStr"/>
      <c r="M113" s="10" t="inlineStr"/>
      <c r="N113" s="10" t="inlineStr"/>
    </row>
    <row r="114">
      <c r="A114" s="8" t="inlineStr">
        <is>
          <t>TC-FIN-019</t>
        </is>
      </c>
      <c r="B114" s="8" t="inlineStr">
        <is>
          <t>Finance</t>
        </is>
      </c>
      <c r="C114" s="8" t="inlineStr">
        <is>
          <t>Periods</t>
        </is>
      </c>
      <c r="D114" s="8" t="inlineStr">
        <is>
          <t>Narrow the period</t>
        </is>
      </c>
      <c r="E114" s="9" t="inlineStr">
        <is>
          <t>Functional</t>
        </is>
      </c>
      <c r="F114" s="9" t="inlineStr">
        <is>
          <t>High</t>
        </is>
      </c>
      <c r="G114" s="8" t="inlineStr">
        <is>
          <t>Entries exist across the year</t>
        </is>
      </c>
      <c r="H114" s="8" t="inlineStr">
        <is>
          <t>1. Set From and To to one month
2. Check Profit &amp; Loss</t>
        </is>
      </c>
      <c r="I114" s="8" t="inlineStr">
        <is>
          <t>one month</t>
        </is>
      </c>
      <c r="J114" s="8" t="inlineStr">
        <is>
          <t>Only that month's income and expenses are included</t>
        </is>
      </c>
      <c r="K114" s="9" t="inlineStr">
        <is>
          <t>Not Run</t>
        </is>
      </c>
      <c r="L114" s="8" t="inlineStr"/>
      <c r="M114" s="8" t="inlineStr"/>
      <c r="N114" s="8" t="inlineStr"/>
    </row>
    <row r="115">
      <c r="A115" s="10" t="inlineStr">
        <is>
          <t>TC-FIN-020</t>
        </is>
      </c>
      <c r="B115" s="10" t="inlineStr">
        <is>
          <t>Finance</t>
        </is>
      </c>
      <c r="C115" s="10" t="inlineStr">
        <is>
          <t>Periods</t>
        </is>
      </c>
      <c r="D115" s="10" t="inlineStr">
        <is>
          <t>Balance Sheet balances in any period</t>
        </is>
      </c>
      <c r="E115" s="11" t="inlineStr">
        <is>
          <t>Functional</t>
        </is>
      </c>
      <c r="F115" s="11" t="inlineStr">
        <is>
          <t>High</t>
        </is>
      </c>
      <c r="G115" s="10" t="inlineStr">
        <is>
          <t>Entries exist across the year</t>
        </is>
      </c>
      <c r="H115" s="10" t="inlineStr">
        <is>
          <t>1. Try the full year, one quarter and one month
2. Compare Total Assets with Liabilities + Equity</t>
        </is>
      </c>
      <c r="I115" s="10" t="inlineStr">
        <is>
          <t>3 different ranges</t>
        </is>
      </c>
      <c r="J115" s="10" t="inlineStr">
        <is>
          <t>The two totals are equal every time</t>
        </is>
      </c>
      <c r="K115" s="11" t="inlineStr">
        <is>
          <t>Not Run</t>
        </is>
      </c>
      <c r="L115" s="10" t="inlineStr"/>
      <c r="M115" s="10" t="inlineStr"/>
      <c r="N115" s="10" t="inlineStr"/>
    </row>
    <row r="116">
      <c r="A116" s="8" t="inlineStr">
        <is>
          <t>TC-FIN-021</t>
        </is>
      </c>
      <c r="B116" s="8" t="inlineStr">
        <is>
          <t>Finance</t>
        </is>
      </c>
      <c r="C116" s="8" t="inlineStr">
        <is>
          <t>Periods</t>
        </is>
      </c>
      <c r="D116" s="8" t="inlineStr">
        <is>
          <t>Balance Sheet is a snapshot at the To date</t>
        </is>
      </c>
      <c r="E116" s="9" t="inlineStr">
        <is>
          <t>Functional</t>
        </is>
      </c>
      <c r="F116" s="9" t="inlineStr">
        <is>
          <t>Medium</t>
        </is>
      </c>
      <c r="G116" s="8" t="inlineStr">
        <is>
          <t>Entries exist</t>
        </is>
      </c>
      <c r="H116" s="8" t="inlineStr">
        <is>
          <t>1. Change only the From date
2. Watch the Balance Sheet</t>
        </is>
      </c>
      <c r="I116" s="8" t="inlineStr">
        <is>
          <t>-</t>
        </is>
      </c>
      <c r="J116" s="8" t="inlineStr">
        <is>
          <t>The Balance Sheet does not change; only the Profit &amp; Loss does</t>
        </is>
      </c>
      <c r="K116" s="9" t="inlineStr">
        <is>
          <t>Not Run</t>
        </is>
      </c>
      <c r="L116" s="8" t="inlineStr"/>
      <c r="M116" s="8" t="inlineStr"/>
      <c r="N116" s="8" t="inlineStr"/>
    </row>
    <row r="117">
      <c r="A117" s="10" t="inlineStr">
        <is>
          <t>TC-FIN-022</t>
        </is>
      </c>
      <c r="B117" s="10" t="inlineStr">
        <is>
          <t>Finance</t>
        </is>
      </c>
      <c r="C117" s="10" t="inlineStr">
        <is>
          <t>Periods</t>
        </is>
      </c>
      <c r="D117" s="10" t="inlineStr">
        <is>
          <t>Day Book respects the period</t>
        </is>
      </c>
      <c r="E117" s="11" t="inlineStr">
        <is>
          <t>Functional</t>
        </is>
      </c>
      <c r="F117" s="11" t="inlineStr">
        <is>
          <t>Medium</t>
        </is>
      </c>
      <c r="G117" s="10" t="inlineStr">
        <is>
          <t>Vouchers exist across months</t>
        </is>
      </c>
      <c r="H117" s="10" t="inlineStr">
        <is>
          <t>1. Finance &gt; Day Book
2. Set the period to one month</t>
        </is>
      </c>
      <c r="I117" s="10" t="inlineStr">
        <is>
          <t>-</t>
        </is>
      </c>
      <c r="J117" s="10" t="inlineStr">
        <is>
          <t>Only that month's vouchers are listed and the count matches</t>
        </is>
      </c>
      <c r="K117" s="11" t="inlineStr">
        <is>
          <t>Not Run</t>
        </is>
      </c>
      <c r="L117" s="10" t="inlineStr"/>
      <c r="M117" s="10" t="inlineStr"/>
      <c r="N117" s="10" t="inlineStr"/>
    </row>
    <row r="118">
      <c r="A118" s="8" t="inlineStr">
        <is>
          <t>TC-FIN-023</t>
        </is>
      </c>
      <c r="B118" s="8" t="inlineStr">
        <is>
          <t>Finance</t>
        </is>
      </c>
      <c r="C118" s="8" t="inlineStr">
        <is>
          <t>Periods</t>
        </is>
      </c>
      <c r="D118" s="8" t="inlineStr">
        <is>
          <t>VAT quarter buttons</t>
        </is>
      </c>
      <c r="E118" s="9" t="inlineStr">
        <is>
          <t>Functional</t>
        </is>
      </c>
      <c r="F118" s="9" t="inlineStr">
        <is>
          <t>High</t>
        </is>
      </c>
      <c r="G118" s="8" t="inlineStr">
        <is>
          <t>VAT entries exist</t>
        </is>
      </c>
      <c r="H118" s="8" t="inlineStr">
        <is>
          <t>1. Finance &gt; VAT
2. Click Q1, then Q2</t>
        </is>
      </c>
      <c r="I118" s="8" t="inlineStr">
        <is>
          <t>-</t>
        </is>
      </c>
      <c r="J118" s="8" t="inlineStr">
        <is>
          <t>The figures change to that quarter, matching the FTA return period</t>
        </is>
      </c>
      <c r="K118" s="9" t="inlineStr">
        <is>
          <t>Not Run</t>
        </is>
      </c>
      <c r="L118" s="8" t="inlineStr"/>
      <c r="M118" s="8" t="inlineStr"/>
      <c r="N118" s="8" t="inlineStr"/>
    </row>
    <row r="119">
      <c r="A119" s="10" t="inlineStr">
        <is>
          <t>TC-FIN-024</t>
        </is>
      </c>
      <c r="B119" s="10" t="inlineStr">
        <is>
          <t>Finance</t>
        </is>
      </c>
      <c r="C119" s="10" t="inlineStr">
        <is>
          <t>Periods</t>
        </is>
      </c>
      <c r="D119" s="10" t="inlineStr">
        <is>
          <t>A period can be shared by link</t>
        </is>
      </c>
      <c r="E119" s="11" t="inlineStr">
        <is>
          <t>Functional</t>
        </is>
      </c>
      <c r="F119" s="11" t="inlineStr">
        <is>
          <t>Low</t>
        </is>
      </c>
      <c r="G119" s="10" t="inlineStr">
        <is>
          <t>Any finance report</t>
        </is>
      </c>
      <c r="H119" s="10" t="inlineStr">
        <is>
          <t>1. Set a period
2. Copy the browser address and open it again</t>
        </is>
      </c>
      <c r="I119" s="10" t="inlineStr">
        <is>
          <t>-</t>
        </is>
      </c>
      <c r="J119" s="10" t="inlineStr">
        <is>
          <t>The same period is shown</t>
        </is>
      </c>
      <c r="K119" s="11" t="inlineStr">
        <is>
          <t>Not Run</t>
        </is>
      </c>
      <c r="L119" s="10" t="inlineStr"/>
      <c r="M119" s="10" t="inlineStr"/>
      <c r="N119" s="10" t="inlineStr"/>
    </row>
    <row r="120">
      <c r="A120" s="8" t="inlineStr">
        <is>
          <t>TC-FIN-025</t>
        </is>
      </c>
      <c r="B120" s="8" t="inlineStr">
        <is>
          <t>Finance</t>
        </is>
      </c>
      <c r="C120" s="8" t="inlineStr">
        <is>
          <t>Periods</t>
        </is>
      </c>
      <c r="D120" s="8" t="inlineStr">
        <is>
          <t>A nonsense date range is handled</t>
        </is>
      </c>
      <c r="E120" s="9" t="inlineStr">
        <is>
          <t>Negative</t>
        </is>
      </c>
      <c r="F120" s="9" t="inlineStr">
        <is>
          <t>Medium</t>
        </is>
      </c>
      <c r="G120" s="8" t="inlineStr">
        <is>
          <t>Finance access</t>
        </is>
      </c>
      <c r="H120" s="8" t="inlineStr">
        <is>
          <t>1. Edit the address so To is before From</t>
        </is>
      </c>
      <c r="I120" s="8" t="inlineStr">
        <is>
          <t>-</t>
        </is>
      </c>
      <c r="J120" s="8" t="inlineStr">
        <is>
          <t>The range is corrected rather than showing an error or an empty report</t>
        </is>
      </c>
      <c r="K120" s="9" t="inlineStr">
        <is>
          <t>Not Run</t>
        </is>
      </c>
      <c r="L120" s="8" t="inlineStr"/>
      <c r="M120" s="8" t="inlineStr"/>
      <c r="N120" s="8" t="inlineStr"/>
    </row>
    <row r="121">
      <c r="A121" s="10" t="inlineStr">
        <is>
          <t>TC-FIN-026</t>
        </is>
      </c>
      <c r="B121" s="10" t="inlineStr">
        <is>
          <t>Finance</t>
        </is>
      </c>
      <c r="C121" s="10" t="inlineStr">
        <is>
          <t>Voucher date</t>
        </is>
      </c>
      <c r="D121" s="10" t="inlineStr">
        <is>
          <t>Post a back-dated invoice</t>
        </is>
      </c>
      <c r="E121" s="11" t="inlineStr">
        <is>
          <t>Functional</t>
        </is>
      </c>
      <c r="F121" s="11" t="inlineStr">
        <is>
          <t>High</t>
        </is>
      </c>
      <c r="G121" s="10" t="inlineStr">
        <is>
          <t>Finance access, books not closed</t>
        </is>
      </c>
      <c r="H121" s="10" t="inlineStr">
        <is>
          <t>1. Finance &gt; New journal entry
2. Set the date to a day last month
3. Post a balanced entry</t>
        </is>
      </c>
      <c r="I121" s="10" t="inlineStr">
        <is>
          <t>date = last month</t>
        </is>
      </c>
      <c r="J121" s="10" t="inlineStr">
        <is>
          <t>The voucher is saved with that date and appears in last month's Day Book, not today's</t>
        </is>
      </c>
      <c r="K121" s="11" t="inlineStr">
        <is>
          <t>Not Run</t>
        </is>
      </c>
      <c r="L121" s="10" t="inlineStr"/>
      <c r="M121" s="10" t="inlineStr"/>
      <c r="N121" s="10" t="inlineStr"/>
    </row>
    <row r="122">
      <c r="A122" s="8" t="inlineStr">
        <is>
          <t>TC-FIN-027</t>
        </is>
      </c>
      <c r="B122" s="8" t="inlineStr">
        <is>
          <t>Finance</t>
        </is>
      </c>
      <c r="C122" s="8" t="inlineStr">
        <is>
          <t>Voucher date</t>
        </is>
      </c>
      <c r="D122" s="8" t="inlineStr">
        <is>
          <t>The date defaults to today</t>
        </is>
      </c>
      <c r="E122" s="9" t="inlineStr">
        <is>
          <t>Functional</t>
        </is>
      </c>
      <c r="F122" s="9" t="inlineStr">
        <is>
          <t>Medium</t>
        </is>
      </c>
      <c r="G122" s="8" t="inlineStr">
        <is>
          <t>Finance access</t>
        </is>
      </c>
      <c r="H122" s="8" t="inlineStr">
        <is>
          <t>1. Open New journal entry</t>
        </is>
      </c>
      <c r="I122" s="8" t="inlineStr">
        <is>
          <t>-</t>
        </is>
      </c>
      <c r="J122" s="8" t="inlineStr">
        <is>
          <t>The date field is pre-filled with today's date</t>
        </is>
      </c>
      <c r="K122" s="9" t="inlineStr">
        <is>
          <t>Not Run</t>
        </is>
      </c>
      <c r="L122" s="8" t="inlineStr"/>
      <c r="M122" s="8" t="inlineStr"/>
      <c r="N122" s="8" t="inlineStr"/>
    </row>
    <row r="123">
      <c r="A123" s="10" t="inlineStr">
        <is>
          <t>TC-FIN-028</t>
        </is>
      </c>
      <c r="B123" s="10" t="inlineStr">
        <is>
          <t>Finance</t>
        </is>
      </c>
      <c r="C123" s="10" t="inlineStr">
        <is>
          <t>Voucher date</t>
        </is>
      </c>
      <c r="D123" s="10" t="inlineStr">
        <is>
          <t>A far-future date is refused</t>
        </is>
      </c>
      <c r="E123" s="11" t="inlineStr">
        <is>
          <t>Negative</t>
        </is>
      </c>
      <c r="F123" s="11" t="inlineStr">
        <is>
          <t>Medium</t>
        </is>
      </c>
      <c r="G123" s="10" t="inlineStr">
        <is>
          <t>Finance access</t>
        </is>
      </c>
      <c r="H123" s="10" t="inlineStr">
        <is>
          <t>1. Set the date more than a year ahead
2. Try to post</t>
        </is>
      </c>
      <c r="I123" s="10" t="inlineStr">
        <is>
          <t>year mistyped</t>
        </is>
      </c>
      <c r="J123" s="10" t="inlineStr">
        <is>
          <t>Refused with a message suggesting the year is wrong</t>
        </is>
      </c>
      <c r="K123" s="11" t="inlineStr">
        <is>
          <t>Not Run</t>
        </is>
      </c>
      <c r="L123" s="10" t="inlineStr"/>
      <c r="M123" s="10" t="inlineStr"/>
      <c r="N123" s="10" t="inlineStr"/>
    </row>
    <row r="124">
      <c r="A124" s="8" t="inlineStr">
        <is>
          <t>TC-FIN-029</t>
        </is>
      </c>
      <c r="B124" s="8" t="inlineStr">
        <is>
          <t>Finance</t>
        </is>
      </c>
      <c r="C124" s="8" t="inlineStr">
        <is>
          <t>Period lock</t>
        </is>
      </c>
      <c r="D124" s="8" t="inlineStr">
        <is>
          <t>Close the books to a date</t>
        </is>
      </c>
      <c r="E124" s="9" t="inlineStr">
        <is>
          <t>Functional</t>
        </is>
      </c>
      <c r="F124" s="9" t="inlineStr">
        <is>
          <t>High</t>
        </is>
      </c>
      <c r="G124" s="8" t="inlineStr">
        <is>
          <t>Administrator</t>
        </is>
      </c>
      <c r="H124" s="8" t="inlineStr">
        <is>
          <t>1. Companies &amp; Group &gt; edit the company
2. Set 'Books closed up to' to last month end
3. Save</t>
        </is>
      </c>
      <c r="I124" s="8" t="inlineStr">
        <is>
          <t>31 of last month</t>
        </is>
      </c>
      <c r="J124" s="8" t="inlineStr">
        <is>
          <t>The date is saved and shown when the form is reopened</t>
        </is>
      </c>
      <c r="K124" s="9" t="inlineStr">
        <is>
          <t>Not Run</t>
        </is>
      </c>
      <c r="L124" s="8" t="inlineStr"/>
      <c r="M124" s="8" t="inlineStr"/>
      <c r="N124" s="8" t="inlineStr"/>
    </row>
    <row r="125">
      <c r="A125" s="10" t="inlineStr">
        <is>
          <t>TC-FIN-030</t>
        </is>
      </c>
      <c r="B125" s="10" t="inlineStr">
        <is>
          <t>Finance</t>
        </is>
      </c>
      <c r="C125" s="10" t="inlineStr">
        <is>
          <t>Period lock</t>
        </is>
      </c>
      <c r="D125" s="10" t="inlineStr">
        <is>
          <t>Posting into a closed period is refused</t>
        </is>
      </c>
      <c r="E125" s="11" t="inlineStr">
        <is>
          <t>Negative</t>
        </is>
      </c>
      <c r="F125" s="11" t="inlineStr">
        <is>
          <t>High</t>
        </is>
      </c>
      <c r="G125" s="10" t="inlineStr">
        <is>
          <t>Books closed to a date</t>
        </is>
      </c>
      <c r="H125" s="10" t="inlineStr">
        <is>
          <t>1. New journal entry
2. Set a date on or before the closed date
3. Try to post</t>
        </is>
      </c>
      <c r="I125" s="10" t="inlineStr">
        <is>
          <t>-</t>
        </is>
      </c>
      <c r="J125" s="10" t="inlineStr">
        <is>
          <t>Refused, naming the date the books are closed to and suggesting a later date</t>
        </is>
      </c>
      <c r="K125" s="11" t="inlineStr">
        <is>
          <t>Not Run</t>
        </is>
      </c>
      <c r="L125" s="10" t="inlineStr"/>
      <c r="M125" s="10" t="inlineStr"/>
      <c r="N125" s="10" t="inlineStr"/>
    </row>
    <row r="126">
      <c r="A126" s="8" t="inlineStr">
        <is>
          <t>TC-FIN-031</t>
        </is>
      </c>
      <c r="B126" s="8" t="inlineStr">
        <is>
          <t>Finance</t>
        </is>
      </c>
      <c r="C126" s="8" t="inlineStr">
        <is>
          <t>Period lock</t>
        </is>
      </c>
      <c r="D126" s="8" t="inlineStr">
        <is>
          <t>Posting after the closed date still works</t>
        </is>
      </c>
      <c r="E126" s="9" t="inlineStr">
        <is>
          <t>Functional</t>
        </is>
      </c>
      <c r="F126" s="9" t="inlineStr">
        <is>
          <t>High</t>
        </is>
      </c>
      <c r="G126" s="8" t="inlineStr">
        <is>
          <t>Books closed to a date</t>
        </is>
      </c>
      <c r="H126" s="8" t="inlineStr">
        <is>
          <t>1. Post with a date after the closed date</t>
        </is>
      </c>
      <c r="I126" s="8" t="inlineStr">
        <is>
          <t>-</t>
        </is>
      </c>
      <c r="J126" s="8" t="inlineStr">
        <is>
          <t>The voucher posts normally</t>
        </is>
      </c>
      <c r="K126" s="9" t="inlineStr">
        <is>
          <t>Not Run</t>
        </is>
      </c>
      <c r="L126" s="8" t="inlineStr"/>
      <c r="M126" s="8" t="inlineStr"/>
      <c r="N126" s="8" t="inlineStr"/>
    </row>
    <row r="127">
      <c r="A127" s="10" t="inlineStr">
        <is>
          <t>TC-FIN-032</t>
        </is>
      </c>
      <c r="B127" s="10" t="inlineStr">
        <is>
          <t>Finance</t>
        </is>
      </c>
      <c r="C127" s="10" t="inlineStr">
        <is>
          <t>Corrections</t>
        </is>
      </c>
      <c r="D127" s="10" t="inlineStr">
        <is>
          <t>Reverse a voucher</t>
        </is>
      </c>
      <c r="E127" s="11" t="inlineStr">
        <is>
          <t>Functional</t>
        </is>
      </c>
      <c r="F127" s="11" t="inlineStr">
        <is>
          <t>High</t>
        </is>
      </c>
      <c r="G127" s="10" t="inlineStr">
        <is>
          <t>A posted voucher exists</t>
        </is>
      </c>
      <c r="H127" s="10" t="inlineStr">
        <is>
          <t>1. Finance &gt; Day Book
2. Click the reverse icon on a voucher
3. Choose a date
4. Post the reversal</t>
        </is>
      </c>
      <c r="I127" s="10" t="inlineStr">
        <is>
          <t>-</t>
        </is>
      </c>
      <c r="J127" s="10" t="inlineStr">
        <is>
          <t>A new voucher is created with every debit and credit swapped; the original is unchanged</t>
        </is>
      </c>
      <c r="K127" s="11" t="inlineStr">
        <is>
          <t>Not Run</t>
        </is>
      </c>
      <c r="L127" s="10" t="inlineStr"/>
      <c r="M127" s="10" t="inlineStr"/>
      <c r="N127" s="10" t="inlineStr"/>
    </row>
    <row r="128">
      <c r="A128" s="8" t="inlineStr">
        <is>
          <t>TC-FIN-033</t>
        </is>
      </c>
      <c r="B128" s="8" t="inlineStr">
        <is>
          <t>Finance</t>
        </is>
      </c>
      <c r="C128" s="8" t="inlineStr">
        <is>
          <t>Corrections</t>
        </is>
      </c>
      <c r="D128" s="8" t="inlineStr">
        <is>
          <t>The pair cancels out</t>
        </is>
      </c>
      <c r="E128" s="9" t="inlineStr">
        <is>
          <t>Functional</t>
        </is>
      </c>
      <c r="F128" s="9" t="inlineStr">
        <is>
          <t>High</t>
        </is>
      </c>
      <c r="G128" s="8" t="inlineStr">
        <is>
          <t>A voucher has been reversed</t>
        </is>
      </c>
      <c r="H128" s="8" t="inlineStr">
        <is>
          <t>1. Open the ledgers the voucher touched
2. Compare the balances before and after</t>
        </is>
      </c>
      <c r="I128" s="8" t="inlineStr">
        <is>
          <t>-</t>
        </is>
      </c>
      <c r="J128" s="8" t="inlineStr">
        <is>
          <t>Each account is left exactly where it started</t>
        </is>
      </c>
      <c r="K128" s="9" t="inlineStr">
        <is>
          <t>Not Run</t>
        </is>
      </c>
      <c r="L128" s="8" t="inlineStr"/>
      <c r="M128" s="8" t="inlineStr"/>
      <c r="N128" s="8" t="inlineStr"/>
    </row>
    <row r="129">
      <c r="A129" s="10" t="inlineStr">
        <is>
          <t>TC-FIN-034</t>
        </is>
      </c>
      <c r="B129" s="10" t="inlineStr">
        <is>
          <t>Finance</t>
        </is>
      </c>
      <c r="C129" s="10" t="inlineStr">
        <is>
          <t>Corrections</t>
        </is>
      </c>
      <c r="D129" s="10" t="inlineStr">
        <is>
          <t>A voucher cannot be reversed twice</t>
        </is>
      </c>
      <c r="E129" s="11" t="inlineStr">
        <is>
          <t>Negative</t>
        </is>
      </c>
      <c r="F129" s="11" t="inlineStr">
        <is>
          <t>High</t>
        </is>
      </c>
      <c r="G129" s="10" t="inlineStr">
        <is>
          <t>A voucher has been reversed</t>
        </is>
      </c>
      <c r="H129" s="10" t="inlineStr">
        <is>
          <t>1. Look at the original voucher in the Day Book</t>
        </is>
      </c>
      <c r="I129" s="10" t="inlineStr">
        <is>
          <t>-</t>
        </is>
      </c>
      <c r="J129" s="10" t="inlineStr">
        <is>
          <t>It reads 'Reversed' and offers no reverse control</t>
        </is>
      </c>
      <c r="K129" s="11" t="inlineStr">
        <is>
          <t>Not Run</t>
        </is>
      </c>
      <c r="L129" s="10" t="inlineStr"/>
      <c r="M129" s="10" t="inlineStr"/>
      <c r="N129" s="10" t="inlineStr"/>
    </row>
    <row r="130">
      <c r="A130" s="8" t="inlineStr">
        <is>
          <t>TC-FIN-035</t>
        </is>
      </c>
      <c r="B130" s="8" t="inlineStr">
        <is>
          <t>Finance</t>
        </is>
      </c>
      <c r="C130" s="8" t="inlineStr">
        <is>
          <t>Corrections</t>
        </is>
      </c>
      <c r="D130" s="8" t="inlineStr">
        <is>
          <t>A reversal cannot pre-date the original</t>
        </is>
      </c>
      <c r="E130" s="9" t="inlineStr">
        <is>
          <t>Negative</t>
        </is>
      </c>
      <c r="F130" s="9" t="inlineStr">
        <is>
          <t>Medium</t>
        </is>
      </c>
      <c r="G130" s="8" t="inlineStr">
        <is>
          <t>A posted voucher exists</t>
        </is>
      </c>
      <c r="H130" s="8" t="inlineStr">
        <is>
          <t>1. Reverse it with a date before the original</t>
        </is>
      </c>
      <c r="I130" s="8" t="inlineStr">
        <is>
          <t>-</t>
        </is>
      </c>
      <c r="J130" s="8" t="inlineStr">
        <is>
          <t>Refused with a clear message</t>
        </is>
      </c>
      <c r="K130" s="9" t="inlineStr">
        <is>
          <t>Not Run</t>
        </is>
      </c>
      <c r="L130" s="8" t="inlineStr"/>
      <c r="M130" s="8" t="inlineStr"/>
      <c r="N130" s="8" t="inlineStr"/>
    </row>
    <row r="131">
      <c r="A131" s="10" t="inlineStr">
        <is>
          <t>TC-FIN-036</t>
        </is>
      </c>
      <c r="B131" s="10" t="inlineStr">
        <is>
          <t>Finance</t>
        </is>
      </c>
      <c r="C131" s="10" t="inlineStr">
        <is>
          <t>Corrections</t>
        </is>
      </c>
      <c r="D131" s="10" t="inlineStr">
        <is>
          <t>Posted vouchers cannot be edited or deleted</t>
        </is>
      </c>
      <c r="E131" s="11" t="inlineStr">
        <is>
          <t>Negative</t>
        </is>
      </c>
      <c r="F131" s="11" t="inlineStr">
        <is>
          <t>High</t>
        </is>
      </c>
      <c r="G131" s="10" t="inlineStr">
        <is>
          <t>A posted voucher exists</t>
        </is>
      </c>
      <c r="H131" s="10" t="inlineStr">
        <is>
          <t>1. Look for an edit or delete control on the voucher</t>
        </is>
      </c>
      <c r="I131" s="10" t="inlineStr">
        <is>
          <t>-</t>
        </is>
      </c>
      <c r="J131" s="10" t="inlineStr">
        <is>
          <t>There is none; correction is by reversal only, which keeps the audit trail honest</t>
        </is>
      </c>
      <c r="K131" s="11" t="inlineStr">
        <is>
          <t>Not Run</t>
        </is>
      </c>
      <c r="L131" s="10" t="inlineStr"/>
      <c r="M131" s="10" t="inlineStr"/>
      <c r="N131" s="10" t="inlineStr"/>
    </row>
    <row r="132">
      <c r="A132" s="8" t="inlineStr">
        <is>
          <t>TC-FIN-037</t>
        </is>
      </c>
      <c r="B132" s="8" t="inlineStr">
        <is>
          <t>Finance</t>
        </is>
      </c>
      <c r="C132" s="8" t="inlineStr">
        <is>
          <t>Parties</t>
        </is>
      </c>
      <c r="D132" s="8" t="inlineStr">
        <is>
          <t>Add a customer with a TRN</t>
        </is>
      </c>
      <c r="E132" s="9" t="inlineStr">
        <is>
          <t>Functional</t>
        </is>
      </c>
      <c r="F132" s="9" t="inlineStr">
        <is>
          <t>High</t>
        </is>
      </c>
      <c r="G132" s="8" t="inlineStr">
        <is>
          <t>Finance access</t>
        </is>
      </c>
      <c r="H132" s="8" t="inlineStr">
        <is>
          <t>1. Finance &gt; Parties &gt; Add party
2. Enter code, name, type Customer, TRN and credit days
3. Save</t>
        </is>
      </c>
      <c r="I132" s="8" t="inlineStr">
        <is>
          <t>C0003 / 15 digit TRN / 30 days</t>
        </is>
      </c>
      <c r="J132" s="8" t="inlineStr">
        <is>
          <t>The party is listed with its TRN and credit terms</t>
        </is>
      </c>
      <c r="K132" s="9" t="inlineStr">
        <is>
          <t>Not Run</t>
        </is>
      </c>
      <c r="L132" s="8" t="inlineStr"/>
      <c r="M132" s="8" t="inlineStr"/>
      <c r="N132" s="8" t="inlineStr"/>
    </row>
    <row r="133">
      <c r="A133" s="10" t="inlineStr">
        <is>
          <t>TC-FIN-038</t>
        </is>
      </c>
      <c r="B133" s="10" t="inlineStr">
        <is>
          <t>Finance</t>
        </is>
      </c>
      <c r="C133" s="10" t="inlineStr">
        <is>
          <t>Parties</t>
        </is>
      </c>
      <c r="D133" s="10" t="inlineStr">
        <is>
          <t>Choose a party on a voucher</t>
        </is>
      </c>
      <c r="E133" s="11" t="inlineStr">
        <is>
          <t>Functional</t>
        </is>
      </c>
      <c r="F133" s="11" t="inlineStr">
        <is>
          <t>High</t>
        </is>
      </c>
      <c r="G133" s="10" t="inlineStr">
        <is>
          <t>A party exists</t>
        </is>
      </c>
      <c r="H133" s="10" t="inlineStr">
        <is>
          <t>1. New journal entry
2. Pick the party from the list</t>
        </is>
      </c>
      <c r="I133" s="10" t="inlineStr">
        <is>
          <t>-</t>
        </is>
      </c>
      <c r="J133" s="10" t="inlineStr">
        <is>
          <t>The party is attached to the voucher rather than typed as free text</t>
        </is>
      </c>
      <c r="K133" s="11" t="inlineStr">
        <is>
          <t>Not Run</t>
        </is>
      </c>
      <c r="L133" s="10" t="inlineStr"/>
      <c r="M133" s="10" t="inlineStr"/>
      <c r="N133" s="10" t="inlineStr"/>
    </row>
    <row r="134">
      <c r="A134" s="8" t="inlineStr">
        <is>
          <t>TC-FIN-039</t>
        </is>
      </c>
      <c r="B134" s="8" t="inlineStr">
        <is>
          <t>Finance</t>
        </is>
      </c>
      <c r="C134" s="8" t="inlineStr">
        <is>
          <t>Parties</t>
        </is>
      </c>
      <c r="D134" s="8" t="inlineStr">
        <is>
          <t>Duplicate party codes are refused</t>
        </is>
      </c>
      <c r="E134" s="9" t="inlineStr">
        <is>
          <t>Negative</t>
        </is>
      </c>
      <c r="F134" s="9" t="inlineStr">
        <is>
          <t>Medium</t>
        </is>
      </c>
      <c r="G134" s="8" t="inlineStr">
        <is>
          <t>A party with that code exists</t>
        </is>
      </c>
      <c r="H134" s="8" t="inlineStr">
        <is>
          <t>1. Add another party with the same code</t>
        </is>
      </c>
      <c r="I134" s="8" t="inlineStr">
        <is>
          <t>-</t>
        </is>
      </c>
      <c r="J134" s="8" t="inlineStr">
        <is>
          <t>Refused; codes are unique within a company</t>
        </is>
      </c>
      <c r="K134" s="9" t="inlineStr">
        <is>
          <t>Not Run</t>
        </is>
      </c>
      <c r="L134" s="8" t="inlineStr"/>
      <c r="M134" s="8" t="inlineStr"/>
      <c r="N134" s="8" t="inlineStr"/>
    </row>
    <row r="135">
      <c r="A135" s="10" t="inlineStr">
        <is>
          <t>TC-FIN-040</t>
        </is>
      </c>
      <c r="B135" s="10" t="inlineStr">
        <is>
          <t>Finance</t>
        </is>
      </c>
      <c r="C135" s="10" t="inlineStr">
        <is>
          <t>Outstanding</t>
        </is>
      </c>
      <c r="D135" s="10" t="inlineStr">
        <is>
          <t>Customer balances are aged</t>
        </is>
      </c>
      <c r="E135" s="11" t="inlineStr">
        <is>
          <t>Functional</t>
        </is>
      </c>
      <c r="F135" s="11" t="inlineStr">
        <is>
          <t>High</t>
        </is>
      </c>
      <c r="G135" s="10" t="inlineStr">
        <is>
          <t>Invoices posted to customers</t>
        </is>
      </c>
      <c r="H135" s="10" t="inlineStr">
        <is>
          <t>1. Finance &gt; Outstanding</t>
        </is>
      </c>
      <c r="I135" s="10" t="inlineStr">
        <is>
          <t>-</t>
        </is>
      </c>
      <c r="J135" s="10" t="inlineStr">
        <is>
          <t>Each customer shows a total and amounts split into not-yet-due, 1-30, 31-60, 61-90 and 90+ days</t>
        </is>
      </c>
      <c r="K135" s="11" t="inlineStr">
        <is>
          <t>Not Run</t>
        </is>
      </c>
      <c r="L135" s="10" t="inlineStr"/>
      <c r="M135" s="10" t="inlineStr"/>
      <c r="N135" s="10" t="inlineStr"/>
    </row>
    <row r="136">
      <c r="A136" s="8" t="inlineStr">
        <is>
          <t>TC-FIN-041</t>
        </is>
      </c>
      <c r="B136" s="8" t="inlineStr">
        <is>
          <t>Finance</t>
        </is>
      </c>
      <c r="C136" s="8" t="inlineStr">
        <is>
          <t>Outstanding</t>
        </is>
      </c>
      <c r="D136" s="8" t="inlineStr">
        <is>
          <t>Supplier balances appear separately</t>
        </is>
      </c>
      <c r="E136" s="9" t="inlineStr">
        <is>
          <t>Functional</t>
        </is>
      </c>
      <c r="F136" s="9" t="inlineStr">
        <is>
          <t>High</t>
        </is>
      </c>
      <c r="G136" s="8" t="inlineStr">
        <is>
          <t>Bills posted from suppliers</t>
        </is>
      </c>
      <c r="H136" s="8" t="inlineStr">
        <is>
          <t>1. Finance &gt; Outstanding</t>
        </is>
      </c>
      <c r="I136" s="8" t="inlineStr">
        <is>
          <t>-</t>
        </is>
      </c>
      <c r="J136" s="8" t="inlineStr">
        <is>
          <t>Payables are listed apart from receivables and are not netted against them</t>
        </is>
      </c>
      <c r="K136" s="9" t="inlineStr">
        <is>
          <t>Not Run</t>
        </is>
      </c>
      <c r="L136" s="8" t="inlineStr"/>
      <c r="M136" s="8" t="inlineStr"/>
      <c r="N136" s="8" t="inlineStr"/>
    </row>
    <row r="137">
      <c r="A137" s="10" t="inlineStr">
        <is>
          <t>TC-FIN-042</t>
        </is>
      </c>
      <c r="B137" s="10" t="inlineStr">
        <is>
          <t>Finance</t>
        </is>
      </c>
      <c r="C137" s="10" t="inlineStr">
        <is>
          <t>Outstanding</t>
        </is>
      </c>
      <c r="D137" s="10" t="inlineStr">
        <is>
          <t>It agrees with the ledgers</t>
        </is>
      </c>
      <c r="E137" s="11" t="inlineStr">
        <is>
          <t>Functional</t>
        </is>
      </c>
      <c r="F137" s="11" t="inlineStr">
        <is>
          <t>High</t>
        </is>
      </c>
      <c r="G137" s="10" t="inlineStr">
        <is>
          <t>Invoices and receipts posted</t>
        </is>
      </c>
      <c r="H137" s="10" t="inlineStr">
        <is>
          <t>1. Note the Outstanding total
2. Open the Accounts Receivable ledger
3. Compare</t>
        </is>
      </c>
      <c r="I137" s="10" t="inlineStr">
        <is>
          <t>-</t>
        </is>
      </c>
      <c r="J137" s="10" t="inlineStr">
        <is>
          <t>The two figures match</t>
        </is>
      </c>
      <c r="K137" s="11" t="inlineStr">
        <is>
          <t>Not Run</t>
        </is>
      </c>
      <c r="L137" s="10" t="inlineStr"/>
      <c r="M137" s="10" t="inlineStr"/>
      <c r="N137" s="10" t="inlineStr"/>
    </row>
    <row r="138">
      <c r="A138" s="8" t="inlineStr">
        <is>
          <t>TC-FIN-043</t>
        </is>
      </c>
      <c r="B138" s="8" t="inlineStr">
        <is>
          <t>Finance</t>
        </is>
      </c>
      <c r="C138" s="8" t="inlineStr">
        <is>
          <t>Outstanding</t>
        </is>
      </c>
      <c r="D138" s="8" t="inlineStr">
        <is>
          <t>A receipt reduces what is owed</t>
        </is>
      </c>
      <c r="E138" s="9" t="inlineStr">
        <is>
          <t>Functional</t>
        </is>
      </c>
      <c r="F138" s="9" t="inlineStr">
        <is>
          <t>High</t>
        </is>
      </c>
      <c r="G138" s="8" t="inlineStr">
        <is>
          <t>A customer has an unpaid invoice</t>
        </is>
      </c>
      <c r="H138" s="8" t="inlineStr">
        <is>
          <t>1. Post a Receipt against that customer
2. Reopen Outstanding</t>
        </is>
      </c>
      <c r="I138" s="8" t="inlineStr">
        <is>
          <t>part payment</t>
        </is>
      </c>
      <c r="J138" s="8" t="inlineStr">
        <is>
          <t>The customer's balance falls by the amount received</t>
        </is>
      </c>
      <c r="K138" s="9" t="inlineStr">
        <is>
          <t>Not Run</t>
        </is>
      </c>
      <c r="L138" s="8" t="inlineStr"/>
      <c r="M138" s="8" t="inlineStr"/>
      <c r="N138" s="8" t="inlineStr"/>
    </row>
    <row r="139">
      <c r="A139" s="10" t="inlineStr">
        <is>
          <t>TC-FIN-044</t>
        </is>
      </c>
      <c r="B139" s="10" t="inlineStr">
        <is>
          <t>Finance</t>
        </is>
      </c>
      <c r="C139" s="10" t="inlineStr">
        <is>
          <t>Outstanding</t>
        </is>
      </c>
      <c r="D139" s="10" t="inlineStr">
        <is>
          <t>Credit days decide when it is overdue</t>
        </is>
      </c>
      <c r="E139" s="11" t="inlineStr">
        <is>
          <t>Functional</t>
        </is>
      </c>
      <c r="F139" s="11" t="inlineStr">
        <is>
          <t>Medium</t>
        </is>
      </c>
      <c r="G139" s="10" t="inlineStr">
        <is>
          <t>A party with 30 credit days</t>
        </is>
      </c>
      <c r="H139" s="10" t="inlineStr">
        <is>
          <t>1. Post an invoice dated 45 days ago
2. Open Outstanding</t>
        </is>
      </c>
      <c r="I139" s="10" t="inlineStr">
        <is>
          <t>-</t>
        </is>
      </c>
      <c r="J139" s="10" t="inlineStr">
        <is>
          <t>It is shown as overdue rather than not yet due</t>
        </is>
      </c>
      <c r="K139" s="11" t="inlineStr">
        <is>
          <t>Not Run</t>
        </is>
      </c>
      <c r="L139" s="10" t="inlineStr"/>
      <c r="M139" s="10" t="inlineStr"/>
      <c r="N139" s="10" t="inlineStr"/>
    </row>
    <row r="140">
      <c r="A140" s="8" t="inlineStr">
        <is>
          <t>TC-FIN-045</t>
        </is>
      </c>
      <c r="B140" s="8" t="inlineStr">
        <is>
          <t>Finance</t>
        </is>
      </c>
      <c r="C140" s="8" t="inlineStr">
        <is>
          <t>Notes</t>
        </is>
      </c>
      <c r="D140" s="8" t="inlineStr">
        <is>
          <t>Raise a credit note</t>
        </is>
      </c>
      <c r="E140" s="9" t="inlineStr">
        <is>
          <t>Functional</t>
        </is>
      </c>
      <c r="F140" s="9" t="inlineStr">
        <is>
          <t>High</t>
        </is>
      </c>
      <c r="G140" s="8" t="inlineStr">
        <is>
          <t>An invoice has been raised</t>
        </is>
      </c>
      <c r="H140" s="8" t="inlineStr">
        <is>
          <t>1. New journal entry
2. Choose voucher type Credit Note
3. Post it against the customer</t>
        </is>
      </c>
      <c r="I140" s="8" t="inlineStr">
        <is>
          <t>rate variation</t>
        </is>
      </c>
      <c r="J140" s="8" t="inlineStr">
        <is>
          <t>The voucher is saved with a CN reference</t>
        </is>
      </c>
      <c r="K140" s="9" t="inlineStr">
        <is>
          <t>Not Run</t>
        </is>
      </c>
      <c r="L140" s="8" t="inlineStr"/>
      <c r="M140" s="8" t="inlineStr"/>
      <c r="N140" s="8" t="inlineStr"/>
    </row>
    <row r="141">
      <c r="A141" s="10" t="inlineStr">
        <is>
          <t>TC-FIN-046</t>
        </is>
      </c>
      <c r="B141" s="10" t="inlineStr">
        <is>
          <t>Finance</t>
        </is>
      </c>
      <c r="C141" s="10" t="inlineStr">
        <is>
          <t>Notes</t>
        </is>
      </c>
      <c r="D141" s="10" t="inlineStr">
        <is>
          <t>A credit note reduces what the customer owes</t>
        </is>
      </c>
      <c r="E141" s="11" t="inlineStr">
        <is>
          <t>Functional</t>
        </is>
      </c>
      <c r="F141" s="11" t="inlineStr">
        <is>
          <t>High</t>
        </is>
      </c>
      <c r="G141" s="10" t="inlineStr">
        <is>
          <t>An invoice of 105,000 and a credit note of 21,000</t>
        </is>
      </c>
      <c r="H141" s="10" t="inlineStr">
        <is>
          <t>1. Open Outstanding, or the customer's ledger</t>
        </is>
      </c>
      <c r="I141" s="10" t="inlineStr">
        <is>
          <t>105,000 then 21,000</t>
        </is>
      </c>
      <c r="J141" s="10" t="inlineStr">
        <is>
          <t>The customer owes 84,000, not 126,000</t>
        </is>
      </c>
      <c r="K141" s="11" t="inlineStr">
        <is>
          <t>Not Run</t>
        </is>
      </c>
      <c r="L141" s="10" t="inlineStr"/>
      <c r="M141" s="10" t="inlineStr"/>
      <c r="N141" s="10" t="inlineStr"/>
    </row>
    <row r="142">
      <c r="A142" s="8" t="inlineStr">
        <is>
          <t>TC-FIN-047</t>
        </is>
      </c>
      <c r="B142" s="8" t="inlineStr">
        <is>
          <t>Finance</t>
        </is>
      </c>
      <c r="C142" s="8" t="inlineStr">
        <is>
          <t>Notes</t>
        </is>
      </c>
      <c r="D142" s="8" t="inlineStr">
        <is>
          <t>A debit note reduces what you owe a supplier</t>
        </is>
      </c>
      <c r="E142" s="9" t="inlineStr">
        <is>
          <t>Functional</t>
        </is>
      </c>
      <c r="F142" s="9" t="inlineStr">
        <is>
          <t>High</t>
        </is>
      </c>
      <c r="G142" s="8" t="inlineStr">
        <is>
          <t>A bill and a debit note</t>
        </is>
      </c>
      <c r="H142" s="8" t="inlineStr">
        <is>
          <t>1. Open Outstanding</t>
        </is>
      </c>
      <c r="I142" s="8" t="inlineStr">
        <is>
          <t>-</t>
        </is>
      </c>
      <c r="J142" s="8" t="inlineStr">
        <is>
          <t>The supplier balance falls by the note</t>
        </is>
      </c>
      <c r="K142" s="9" t="inlineStr">
        <is>
          <t>Not Run</t>
        </is>
      </c>
      <c r="L142" s="8" t="inlineStr"/>
      <c r="M142" s="8" t="inlineStr"/>
      <c r="N142" s="8" t="inlineStr"/>
    </row>
    <row r="143">
      <c r="A143" s="10" t="inlineStr">
        <is>
          <t>TC-FIN-048</t>
        </is>
      </c>
      <c r="B143" s="10" t="inlineStr">
        <is>
          <t>Finance</t>
        </is>
      </c>
      <c r="C143" s="10" t="inlineStr">
        <is>
          <t>Notes</t>
        </is>
      </c>
      <c r="D143" s="10" t="inlineStr">
        <is>
          <t>Both note types are available</t>
        </is>
      </c>
      <c r="E143" s="11" t="inlineStr">
        <is>
          <t>Functional</t>
        </is>
      </c>
      <c r="F143" s="11" t="inlineStr">
        <is>
          <t>Medium</t>
        </is>
      </c>
      <c r="G143" s="10" t="inlineStr">
        <is>
          <t>Finance access</t>
        </is>
      </c>
      <c r="H143" s="10" t="inlineStr">
        <is>
          <t>1. Open the voucher type list</t>
        </is>
      </c>
      <c r="I143" s="10" t="inlineStr">
        <is>
          <t>-</t>
        </is>
      </c>
      <c r="J143" s="10" t="inlineStr">
        <is>
          <t>All eight types are offered: Journal, Payment, Receipt, Contra, Sales, Purchase, Credit Note, Debit Note</t>
        </is>
      </c>
      <c r="K143" s="11" t="inlineStr">
        <is>
          <t>Not Run</t>
        </is>
      </c>
      <c r="L143" s="10" t="inlineStr"/>
      <c r="M143" s="10" t="inlineStr"/>
      <c r="N143" s="10" t="inlineStr"/>
    </row>
    <row r="144">
      <c r="A144" s="8" t="inlineStr">
        <is>
          <t>TC-FIN-049</t>
        </is>
      </c>
      <c r="B144" s="8" t="inlineStr">
        <is>
          <t>Finance</t>
        </is>
      </c>
      <c r="C144" s="8" t="inlineStr">
        <is>
          <t>Drill-down</t>
        </is>
      </c>
      <c r="D144" s="8" t="inlineStr">
        <is>
          <t>A report line opens its ledger</t>
        </is>
      </c>
      <c r="E144" s="9" t="inlineStr">
        <is>
          <t>Functional</t>
        </is>
      </c>
      <c r="F144" s="9" t="inlineStr">
        <is>
          <t>High</t>
        </is>
      </c>
      <c r="G144" s="8" t="inlineStr">
        <is>
          <t>Entries posted</t>
        </is>
      </c>
      <c r="H144" s="8" t="inlineStr">
        <is>
          <t>1. Finance &gt; Reports
2. Click any account line on the Profit &amp; Loss</t>
        </is>
      </c>
      <c r="I144" s="8" t="inlineStr">
        <is>
          <t>-</t>
        </is>
      </c>
      <c r="J144" s="8" t="inlineStr">
        <is>
          <t>That account's ledger opens, showing the same dates as the report</t>
        </is>
      </c>
      <c r="K144" s="9" t="inlineStr">
        <is>
          <t>Not Run</t>
        </is>
      </c>
      <c r="L144" s="8" t="inlineStr"/>
      <c r="M144" s="8" t="inlineStr"/>
      <c r="N144" s="8" t="inlineStr"/>
    </row>
    <row r="145">
      <c r="A145" s="10" t="inlineStr">
        <is>
          <t>TC-FIN-050</t>
        </is>
      </c>
      <c r="B145" s="10" t="inlineStr">
        <is>
          <t>Finance</t>
        </is>
      </c>
      <c r="C145" s="10" t="inlineStr">
        <is>
          <t>Drill-down</t>
        </is>
      </c>
      <c r="D145" s="10" t="inlineStr">
        <is>
          <t>The trial balance drills down too</t>
        </is>
      </c>
      <c r="E145" s="11" t="inlineStr">
        <is>
          <t>Functional</t>
        </is>
      </c>
      <c r="F145" s="11" t="inlineStr">
        <is>
          <t>Medium</t>
        </is>
      </c>
      <c r="G145" s="10" t="inlineStr">
        <is>
          <t>Entries posted</t>
        </is>
      </c>
      <c r="H145" s="10" t="inlineStr">
        <is>
          <t>1. Finance &gt; Overview
2. Click an account name</t>
        </is>
      </c>
      <c r="I145" s="10" t="inlineStr">
        <is>
          <t>-</t>
        </is>
      </c>
      <c r="J145" s="10" t="inlineStr">
        <is>
          <t>Its ledger opens for the same period</t>
        </is>
      </c>
      <c r="K145" s="11" t="inlineStr">
        <is>
          <t>Not Run</t>
        </is>
      </c>
      <c r="L145" s="10" t="inlineStr"/>
      <c r="M145" s="10" t="inlineStr"/>
      <c r="N145" s="10" t="inlineStr"/>
    </row>
    <row r="146">
      <c r="A146" s="8" t="inlineStr">
        <is>
          <t>TC-FIN-051</t>
        </is>
      </c>
      <c r="B146" s="8" t="inlineStr">
        <is>
          <t>Finance</t>
        </is>
      </c>
      <c r="C146" s="8" t="inlineStr">
        <is>
          <t>Drill-down</t>
        </is>
      </c>
      <c r="D146" s="8" t="inlineStr">
        <is>
          <t>A ledger line opens its voucher</t>
        </is>
      </c>
      <c r="E146" s="9" t="inlineStr">
        <is>
          <t>Functional</t>
        </is>
      </c>
      <c r="F146" s="9" t="inlineStr">
        <is>
          <t>High</t>
        </is>
      </c>
      <c r="G146" s="8" t="inlineStr">
        <is>
          <t>Entries posted</t>
        </is>
      </c>
      <c r="H146" s="8" t="inlineStr">
        <is>
          <t>1. Finance &gt; Ledgers
2. Click a voucher reference</t>
        </is>
      </c>
      <c r="I146" s="8" t="inlineStr">
        <is>
          <t>-</t>
        </is>
      </c>
      <c r="J146" s="8" t="inlineStr">
        <is>
          <t>The Day Book opens on that date with the voucher highlighted</t>
        </is>
      </c>
      <c r="K146" s="9" t="inlineStr">
        <is>
          <t>Not Run</t>
        </is>
      </c>
      <c r="L146" s="8" t="inlineStr"/>
      <c r="M146" s="8" t="inlineStr"/>
      <c r="N146" s="8" t="inlineStr"/>
    </row>
    <row r="147">
      <c r="A147" s="10" t="inlineStr">
        <is>
          <t>TC-FIN-052</t>
        </is>
      </c>
      <c r="B147" s="10" t="inlineStr">
        <is>
          <t>Finance</t>
        </is>
      </c>
      <c r="C147" s="10" t="inlineStr">
        <is>
          <t>Drill-down</t>
        </is>
      </c>
      <c r="D147" s="10" t="inlineStr">
        <is>
          <t>Totals are not clickable</t>
        </is>
      </c>
      <c r="E147" s="11" t="inlineStr">
        <is>
          <t>Functional</t>
        </is>
      </c>
      <c r="F147" s="11" t="inlineStr">
        <is>
          <t>Low</t>
        </is>
      </c>
      <c r="G147" s="10" t="inlineStr">
        <is>
          <t>Entries posted</t>
        </is>
      </c>
      <c r="H147" s="10" t="inlineStr">
        <is>
          <t>1. Try to click 'Total Income' on the Profit &amp; Loss</t>
        </is>
      </c>
      <c r="I147" s="10" t="inlineStr">
        <is>
          <t>-</t>
        </is>
      </c>
      <c r="J147" s="10" t="inlineStr">
        <is>
          <t>Nothing happens; no single ledger sits behind a total</t>
        </is>
      </c>
      <c r="K147" s="11" t="inlineStr">
        <is>
          <t>Not Run</t>
        </is>
      </c>
      <c r="L147" s="10" t="inlineStr"/>
      <c r="M147" s="10" t="inlineStr"/>
      <c r="N147" s="10" t="inlineStr"/>
    </row>
    <row r="148">
      <c r="A148" s="8" t="inlineStr">
        <is>
          <t>TC-FIN-053</t>
        </is>
      </c>
      <c r="B148" s="8" t="inlineStr">
        <is>
          <t>Finance</t>
        </is>
      </c>
      <c r="C148" s="8" t="inlineStr">
        <is>
          <t>Day Book</t>
        </is>
      </c>
      <c r="D148" s="8" t="inlineStr">
        <is>
          <t>Filter by voucher type</t>
        </is>
      </c>
      <c r="E148" s="9" t="inlineStr">
        <is>
          <t>Functional</t>
        </is>
      </c>
      <c r="F148" s="9" t="inlineStr">
        <is>
          <t>Medium</t>
        </is>
      </c>
      <c r="G148" s="8" t="inlineStr">
        <is>
          <t>Vouchers of several types</t>
        </is>
      </c>
      <c r="H148" s="8" t="inlineStr">
        <is>
          <t>1. Finance &gt; Day Book
2. Click the Payment button</t>
        </is>
      </c>
      <c r="I148" s="8" t="inlineStr">
        <is>
          <t>-</t>
        </is>
      </c>
      <c r="J148" s="8" t="inlineStr">
        <is>
          <t>Only payments are listed and the count changes to match</t>
        </is>
      </c>
      <c r="K148" s="9" t="inlineStr">
        <is>
          <t>Not Run</t>
        </is>
      </c>
      <c r="L148" s="8" t="inlineStr"/>
      <c r="M148" s="8" t="inlineStr"/>
      <c r="N148" s="8" t="inlineStr"/>
    </row>
    <row r="149">
      <c r="A149" s="10" t="inlineStr">
        <is>
          <t>TC-FIN-054</t>
        </is>
      </c>
      <c r="B149" s="10" t="inlineStr">
        <is>
          <t>Finance</t>
        </is>
      </c>
      <c r="C149" s="10" t="inlineStr">
        <is>
          <t>Accounts</t>
        </is>
      </c>
      <c r="D149" s="10" t="inlineStr">
        <is>
          <t>Find an account by typing</t>
        </is>
      </c>
      <c r="E149" s="11" t="inlineStr">
        <is>
          <t>Functional</t>
        </is>
      </c>
      <c r="F149" s="11" t="inlineStr">
        <is>
          <t>High</t>
        </is>
      </c>
      <c r="G149" s="10" t="inlineStr">
        <is>
          <t>Finance access</t>
        </is>
      </c>
      <c r="H149" s="10" t="inlineStr">
        <is>
          <t>1. New journal entry
2. In an account box, type the first few letters of a name</t>
        </is>
      </c>
      <c r="I149" s="10" t="inlineStr">
        <is>
          <t>cas</t>
        </is>
      </c>
      <c r="J149" s="10" t="inlineStr">
        <is>
          <t>A short list appears with Cash at Bank first; arrow keys and Enter select it without the mouse</t>
        </is>
      </c>
      <c r="K149" s="11" t="inlineStr">
        <is>
          <t>Not Run</t>
        </is>
      </c>
      <c r="L149" s="10" t="inlineStr"/>
      <c r="M149" s="10" t="inlineStr"/>
      <c r="N149" s="10" t="inlineStr"/>
    </row>
    <row r="150">
      <c r="A150" s="8" t="inlineStr">
        <is>
          <t>TC-FIN-055</t>
        </is>
      </c>
      <c r="B150" s="8" t="inlineStr">
        <is>
          <t>Finance</t>
        </is>
      </c>
      <c r="C150" s="8" t="inlineStr">
        <is>
          <t>Printing</t>
        </is>
      </c>
      <c r="D150" s="8" t="inlineStr">
        <is>
          <t>Print a report</t>
        </is>
      </c>
      <c r="E150" s="9" t="inlineStr">
        <is>
          <t>UI</t>
        </is>
      </c>
      <c r="F150" s="9" t="inlineStr">
        <is>
          <t>High</t>
        </is>
      </c>
      <c r="G150" s="8" t="inlineStr">
        <is>
          <t>A report on screen</t>
        </is>
      </c>
      <c r="H150" s="8" t="inlineStr">
        <is>
          <t>1. Open Finance &gt; Reports
2. Click Print
3. Look at the preview</t>
        </is>
      </c>
      <c r="I150" s="8" t="inlineStr">
        <is>
          <t>-</t>
        </is>
      </c>
      <c r="J150" s="8" t="inlineStr">
        <is>
          <t>An A4 page with the company name, report title and period at the top; no menus or buttons</t>
        </is>
      </c>
      <c r="K150" s="9" t="inlineStr">
        <is>
          <t>Not Run</t>
        </is>
      </c>
      <c r="L150" s="8" t="inlineStr"/>
      <c r="M150" s="8" t="inlineStr"/>
      <c r="N150" s="8" t="inlineStr"/>
    </row>
    <row r="151">
      <c r="A151" s="10" t="inlineStr">
        <is>
          <t>TC-FIN-056</t>
        </is>
      </c>
      <c r="B151" s="10" t="inlineStr">
        <is>
          <t>Finance</t>
        </is>
      </c>
      <c r="C151" s="10" t="inlineStr">
        <is>
          <t>Printing</t>
        </is>
      </c>
      <c r="D151" s="10" t="inlineStr">
        <is>
          <t>Printing works from night mode</t>
        </is>
      </c>
      <c r="E151" s="11" t="inlineStr">
        <is>
          <t>UI</t>
        </is>
      </c>
      <c r="F151" s="11" t="inlineStr">
        <is>
          <t>Medium</t>
        </is>
      </c>
      <c r="G151" s="10" t="inlineStr">
        <is>
          <t>Night mode selected</t>
        </is>
      </c>
      <c r="H151" s="10" t="inlineStr">
        <is>
          <t>1. Switch to night mode
2. Print any finance report</t>
        </is>
      </c>
      <c r="I151" s="10" t="inlineStr">
        <is>
          <t>-</t>
        </is>
      </c>
      <c r="J151" s="10" t="inlineStr">
        <is>
          <t>The printed page is black on white, not the dark screen colours</t>
        </is>
      </c>
      <c r="K151" s="11" t="inlineStr">
        <is>
          <t>Not Run</t>
        </is>
      </c>
      <c r="L151" s="10" t="inlineStr"/>
      <c r="M151" s="10" t="inlineStr"/>
      <c r="N151" s="10" t="inlineStr"/>
    </row>
    <row r="152">
      <c r="A152" s="8" t="inlineStr">
        <is>
          <t>TC-FIN-057</t>
        </is>
      </c>
      <c r="B152" s="8" t="inlineStr">
        <is>
          <t>Finance</t>
        </is>
      </c>
      <c r="C152" s="8" t="inlineStr">
        <is>
          <t>Printing</t>
        </is>
      </c>
      <c r="D152" s="8" t="inlineStr">
        <is>
          <t>Long reports paginate properly</t>
        </is>
      </c>
      <c r="E152" s="9" t="inlineStr">
        <is>
          <t>UI</t>
        </is>
      </c>
      <c r="F152" s="9" t="inlineStr">
        <is>
          <t>Medium</t>
        </is>
      </c>
      <c r="G152" s="8" t="inlineStr">
        <is>
          <t>A report longer than one page</t>
        </is>
      </c>
      <c r="H152" s="8" t="inlineStr">
        <is>
          <t>1. Print the Day Book for a full year</t>
        </is>
      </c>
      <c r="I152" s="8" t="inlineStr">
        <is>
          <t>-</t>
        </is>
      </c>
      <c r="J152" s="8" t="inlineStr">
        <is>
          <t>Column headings repeat on each page and no row is split across two pages</t>
        </is>
      </c>
      <c r="K152" s="9" t="inlineStr">
        <is>
          <t>Not Run</t>
        </is>
      </c>
      <c r="L152" s="8" t="inlineStr"/>
      <c r="M152" s="8" t="inlineStr"/>
      <c r="N152" s="8" t="inlineStr"/>
    </row>
    <row r="153">
      <c r="A153" s="10" t="inlineStr">
        <is>
          <t>TC-FIN-058</t>
        </is>
      </c>
      <c r="B153" s="10" t="inlineStr">
        <is>
          <t>Finance</t>
        </is>
      </c>
      <c r="C153" s="10" t="inlineStr">
        <is>
          <t>VAT</t>
        </is>
      </c>
      <c r="D153" s="10" t="inlineStr">
        <is>
          <t>Set a VAT treatment on a line</t>
        </is>
      </c>
      <c r="E153" s="11" t="inlineStr">
        <is>
          <t>Functional</t>
        </is>
      </c>
      <c r="F153" s="11" t="inlineStr">
        <is>
          <t>High</t>
        </is>
      </c>
      <c r="G153" s="10" t="inlineStr">
        <is>
          <t>Finance access</t>
        </is>
      </c>
      <c r="H153" s="10" t="inlineStr">
        <is>
          <t>1. New journal entry
2. On the revenue line choose Standard
3. Leave the bank line blank
4. Post</t>
        </is>
      </c>
      <c r="I153" s="10" t="inlineStr">
        <is>
          <t>-</t>
        </is>
      </c>
      <c r="J153" s="10" t="inlineStr">
        <is>
          <t>The treatment is saved against that line only</t>
        </is>
      </c>
      <c r="K153" s="11" t="inlineStr">
        <is>
          <t>Not Run</t>
        </is>
      </c>
      <c r="L153" s="10" t="inlineStr"/>
      <c r="M153" s="10" t="inlineStr"/>
      <c r="N153" s="10" t="inlineStr"/>
    </row>
    <row r="154">
      <c r="A154" s="8" t="inlineStr">
        <is>
          <t>TC-FIN-059</t>
        </is>
      </c>
      <c r="B154" s="8" t="inlineStr">
        <is>
          <t>Finance</t>
        </is>
      </c>
      <c r="C154" s="8" t="inlineStr">
        <is>
          <t>VAT</t>
        </is>
      </c>
      <c r="D154" s="8" t="inlineStr">
        <is>
          <t>Box 1 shows standard rated supplies</t>
        </is>
      </c>
      <c r="E154" s="9" t="inlineStr">
        <is>
          <t>Functional</t>
        </is>
      </c>
      <c r="F154" s="9" t="inlineStr">
        <is>
          <t>High</t>
        </is>
      </c>
      <c r="G154" s="8" t="inlineStr">
        <is>
          <t>A standard-rated sales invoice</t>
        </is>
      </c>
      <c r="H154" s="8" t="inlineStr">
        <is>
          <t>1. Finance &gt; VAT</t>
        </is>
      </c>
      <c r="I154" s="8" t="inlineStr">
        <is>
          <t>200,000 revenue</t>
        </is>
      </c>
      <c r="J154" s="8" t="inlineStr">
        <is>
          <t>Box 1 shows 200,000 with 10,000 of tax</t>
        </is>
      </c>
      <c r="K154" s="9" t="inlineStr">
        <is>
          <t>Not Run</t>
        </is>
      </c>
      <c r="L154" s="8" t="inlineStr"/>
      <c r="M154" s="8" t="inlineStr"/>
      <c r="N154" s="8" t="inlineStr"/>
    </row>
    <row r="155">
      <c r="A155" s="10" t="inlineStr">
        <is>
          <t>TC-FIN-060</t>
        </is>
      </c>
      <c r="B155" s="10" t="inlineStr">
        <is>
          <t>Finance</t>
        </is>
      </c>
      <c r="C155" s="10" t="inlineStr">
        <is>
          <t>VAT</t>
        </is>
      </c>
      <c r="D155" s="10" t="inlineStr">
        <is>
          <t>A mixed invoice splits across boxes</t>
        </is>
      </c>
      <c r="E155" s="11" t="inlineStr">
        <is>
          <t>Functional</t>
        </is>
      </c>
      <c r="F155" s="11" t="inlineStr">
        <is>
          <t>High</t>
        </is>
      </c>
      <c r="G155" s="10" t="inlineStr">
        <is>
          <t>One invoice with standard and zero-rated lines</t>
        </is>
      </c>
      <c r="H155" s="10" t="inlineStr">
        <is>
          <t>1. Post it
2. Open the VAT return</t>
        </is>
      </c>
      <c r="I155" s="10" t="inlineStr">
        <is>
          <t>200,000 standard + 60,000 zero-rated</t>
        </is>
      </c>
      <c r="J155" s="10" t="inlineStr">
        <is>
          <t>Box 1 shows 200,000 and box 4 shows 60,000; only the standard part is taxed</t>
        </is>
      </c>
      <c r="K155" s="11" t="inlineStr">
        <is>
          <t>Not Run</t>
        </is>
      </c>
      <c r="L155" s="10" t="inlineStr"/>
      <c r="M155" s="10" t="inlineStr"/>
      <c r="N155" s="10" t="inlineStr"/>
    </row>
    <row r="156">
      <c r="A156" s="8" t="inlineStr">
        <is>
          <t>TC-FIN-061</t>
        </is>
      </c>
      <c r="B156" s="8" t="inlineStr">
        <is>
          <t>Finance</t>
        </is>
      </c>
      <c r="C156" s="8" t="inlineStr">
        <is>
          <t>VAT</t>
        </is>
      </c>
      <c r="D156" s="8" t="inlineStr">
        <is>
          <t>Exempt supplies appear untaxed</t>
        </is>
      </c>
      <c r="E156" s="9" t="inlineStr">
        <is>
          <t>Functional</t>
        </is>
      </c>
      <c r="F156" s="9" t="inlineStr">
        <is>
          <t>Medium</t>
        </is>
      </c>
      <c r="G156" s="8" t="inlineStr">
        <is>
          <t>An exempt supply posted</t>
        </is>
      </c>
      <c r="H156" s="8" t="inlineStr">
        <is>
          <t>1. Open the VAT return</t>
        </is>
      </c>
      <c r="I156" s="8" t="inlineStr">
        <is>
          <t>-</t>
        </is>
      </c>
      <c r="J156" s="8" t="inlineStr">
        <is>
          <t>Box 5 shows the amount and no tax</t>
        </is>
      </c>
      <c r="K156" s="9" t="inlineStr">
        <is>
          <t>Not Run</t>
        </is>
      </c>
      <c r="L156" s="8" t="inlineStr"/>
      <c r="M156" s="8" t="inlineStr"/>
      <c r="N156" s="8" t="inlineStr"/>
    </row>
    <row r="157">
      <c r="A157" s="10" t="inlineStr">
        <is>
          <t>TC-FIN-062</t>
        </is>
      </c>
      <c r="B157" s="10" t="inlineStr">
        <is>
          <t>Finance</t>
        </is>
      </c>
      <c r="C157" s="10" t="inlineStr">
        <is>
          <t>VAT</t>
        </is>
      </c>
      <c r="D157" s="10" t="inlineStr">
        <is>
          <t>Out of scope appears nowhere</t>
        </is>
      </c>
      <c r="E157" s="11" t="inlineStr">
        <is>
          <t>Negative</t>
        </is>
      </c>
      <c r="F157" s="11" t="inlineStr">
        <is>
          <t>Medium</t>
        </is>
      </c>
      <c r="G157" s="10" t="inlineStr">
        <is>
          <t>An out-of-scope supply posted</t>
        </is>
      </c>
      <c r="H157" s="10" t="inlineStr">
        <is>
          <t>1. Open the VAT return</t>
        </is>
      </c>
      <c r="I157" s="10" t="inlineStr">
        <is>
          <t>-</t>
        </is>
      </c>
      <c r="J157" s="10" t="inlineStr">
        <is>
          <t>It is in no box at all and does not change the net payable</t>
        </is>
      </c>
      <c r="K157" s="11" t="inlineStr">
        <is>
          <t>Not Run</t>
        </is>
      </c>
      <c r="L157" s="10" t="inlineStr"/>
      <c r="M157" s="10" t="inlineStr"/>
      <c r="N157" s="10" t="inlineStr"/>
    </row>
    <row r="158">
      <c r="A158" s="8" t="inlineStr">
        <is>
          <t>TC-FIN-063</t>
        </is>
      </c>
      <c r="B158" s="8" t="inlineStr">
        <is>
          <t>Finance</t>
        </is>
      </c>
      <c r="C158" s="8" t="inlineStr">
        <is>
          <t>VAT</t>
        </is>
      </c>
      <c r="D158" s="8" t="inlineStr">
        <is>
          <t>A credit note reduces the return</t>
        </is>
      </c>
      <c r="E158" s="9" t="inlineStr">
        <is>
          <t>Functional</t>
        </is>
      </c>
      <c r="F158" s="9" t="inlineStr">
        <is>
          <t>High</t>
        </is>
      </c>
      <c r="G158" s="8" t="inlineStr">
        <is>
          <t>An invoice and a credit note</t>
        </is>
      </c>
      <c r="H158" s="8" t="inlineStr">
        <is>
          <t>1. Open the VAT return for the period</t>
        </is>
      </c>
      <c r="I158" s="8" t="inlineStr">
        <is>
          <t>200,000 then a 10,000 credit note</t>
        </is>
      </c>
      <c r="J158" s="8" t="inlineStr">
        <is>
          <t>Box 1 shows 190,000 with 9,500 of tax, not 210,000</t>
        </is>
      </c>
      <c r="K158" s="9" t="inlineStr">
        <is>
          <t>Not Run</t>
        </is>
      </c>
      <c r="L158" s="8" t="inlineStr"/>
      <c r="M158" s="8" t="inlineStr"/>
      <c r="N158" s="8" t="inlineStr"/>
    </row>
    <row r="159">
      <c r="A159" s="10" t="inlineStr">
        <is>
          <t>TC-FIN-064</t>
        </is>
      </c>
      <c r="B159" s="10" t="inlineStr">
        <is>
          <t>Finance</t>
        </is>
      </c>
      <c r="C159" s="10" t="inlineStr">
        <is>
          <t>VAT</t>
        </is>
      </c>
      <c r="D159" s="10" t="inlineStr">
        <is>
          <t>Reverse charge appears on both sides</t>
        </is>
      </c>
      <c r="E159" s="11" t="inlineStr">
        <is>
          <t>Functional</t>
        </is>
      </c>
      <c r="F159" s="11" t="inlineStr">
        <is>
          <t>High</t>
        </is>
      </c>
      <c r="G159" s="10" t="inlineStr">
        <is>
          <t>An imported service posted as Reverse charge</t>
        </is>
      </c>
      <c r="H159" s="10" t="inlineStr">
        <is>
          <t>1. Open the VAT return</t>
        </is>
      </c>
      <c r="I159" s="10" t="inlineStr">
        <is>
          <t>40,000 imported services</t>
        </is>
      </c>
      <c r="J159" s="10" t="inlineStr">
        <is>
          <t>Box 3 and box 10 both show 40,000 with 2,000 of tax</t>
        </is>
      </c>
      <c r="K159" s="11" t="inlineStr">
        <is>
          <t>Not Run</t>
        </is>
      </c>
      <c r="L159" s="10" t="inlineStr"/>
      <c r="M159" s="10" t="inlineStr"/>
      <c r="N159" s="10" t="inlineStr"/>
    </row>
    <row r="160">
      <c r="A160" s="8" t="inlineStr">
        <is>
          <t>TC-FIN-065</t>
        </is>
      </c>
      <c r="B160" s="8" t="inlineStr">
        <is>
          <t>Finance</t>
        </is>
      </c>
      <c r="C160" s="8" t="inlineStr">
        <is>
          <t>VAT</t>
        </is>
      </c>
      <c r="D160" s="8" t="inlineStr">
        <is>
          <t>Reverse charge nets to nil</t>
        </is>
      </c>
      <c r="E160" s="9" t="inlineStr">
        <is>
          <t>Functional</t>
        </is>
      </c>
      <c r="F160" s="9" t="inlineStr">
        <is>
          <t>High</t>
        </is>
      </c>
      <c r="G160" s="8" t="inlineStr">
        <is>
          <t>A reverse-charge purchase posted</t>
        </is>
      </c>
      <c r="H160" s="8" t="inlineStr">
        <is>
          <t>1. Note the net payable
2. Compare with the same period excluding that voucher</t>
        </is>
      </c>
      <c r="I160" s="8" t="inlineStr">
        <is>
          <t>-</t>
        </is>
      </c>
      <c r="J160" s="8" t="inlineStr">
        <is>
          <t>The net payable is unchanged; the tax is declared and reclaimed</t>
        </is>
      </c>
      <c r="K160" s="9" t="inlineStr">
        <is>
          <t>Not Run</t>
        </is>
      </c>
      <c r="L160" s="8" t="inlineStr"/>
      <c r="M160" s="8" t="inlineStr"/>
      <c r="N160" s="8" t="inlineStr"/>
    </row>
    <row r="161">
      <c r="A161" s="10" t="inlineStr">
        <is>
          <t>TC-FIN-066</t>
        </is>
      </c>
      <c r="B161" s="10" t="inlineStr">
        <is>
          <t>Finance</t>
        </is>
      </c>
      <c r="C161" s="10" t="inlineStr">
        <is>
          <t>VAT</t>
        </is>
      </c>
      <c r="D161" s="10" t="inlineStr">
        <is>
          <t>Input tax is recoverable on expenses</t>
        </is>
      </c>
      <c r="E161" s="11" t="inlineStr">
        <is>
          <t>Functional</t>
        </is>
      </c>
      <c r="F161" s="11" t="inlineStr">
        <is>
          <t>High</t>
        </is>
      </c>
      <c r="G161" s="10" t="inlineStr">
        <is>
          <t>A standard-rated purchase</t>
        </is>
      </c>
      <c r="H161" s="10" t="inlineStr">
        <is>
          <t>1. Open the VAT return</t>
        </is>
      </c>
      <c r="I161" s="10" t="inlineStr">
        <is>
          <t>80,000 purchase</t>
        </is>
      </c>
      <c r="J161" s="10" t="inlineStr">
        <is>
          <t>Box 9 shows 80,000 with 4,000, and box 13 includes it</t>
        </is>
      </c>
      <c r="K161" s="11" t="inlineStr">
        <is>
          <t>Not Run</t>
        </is>
      </c>
      <c r="L161" s="10" t="inlineStr"/>
      <c r="M161" s="10" t="inlineStr"/>
      <c r="N161" s="10" t="inlineStr"/>
    </row>
    <row r="162">
      <c r="A162" s="8" t="inlineStr">
        <is>
          <t>TC-FIN-067</t>
        </is>
      </c>
      <c r="B162" s="8" t="inlineStr">
        <is>
          <t>Finance</t>
        </is>
      </c>
      <c r="C162" s="8" t="inlineStr">
        <is>
          <t>VAT</t>
        </is>
      </c>
      <c r="D162" s="8" t="inlineStr">
        <is>
          <t>Net payable is output less input</t>
        </is>
      </c>
      <c r="E162" s="9" t="inlineStr">
        <is>
          <t>Functional</t>
        </is>
      </c>
      <c r="F162" s="9" t="inlineStr">
        <is>
          <t>High</t>
        </is>
      </c>
      <c r="G162" s="8" t="inlineStr">
        <is>
          <t>Sales and purchases posted</t>
        </is>
      </c>
      <c r="H162" s="8" t="inlineStr">
        <is>
          <t>1. Read box 14</t>
        </is>
      </c>
      <c r="I162" s="8" t="inlineStr">
        <is>
          <t>-</t>
        </is>
      </c>
      <c r="J162" s="8" t="inlineStr">
        <is>
          <t>Box 14 equals box 12 minus box 13</t>
        </is>
      </c>
      <c r="K162" s="9" t="inlineStr">
        <is>
          <t>Not Run</t>
        </is>
      </c>
      <c r="L162" s="8" t="inlineStr"/>
      <c r="M162" s="8" t="inlineStr"/>
      <c r="N162" s="8" t="inlineStr"/>
    </row>
    <row r="163">
      <c r="A163" s="10" t="inlineStr">
        <is>
          <t>TC-FIN-068</t>
        </is>
      </c>
      <c r="B163" s="10" t="inlineStr">
        <is>
          <t>Finance</t>
        </is>
      </c>
      <c r="C163" s="10" t="inlineStr">
        <is>
          <t>VAT</t>
        </is>
      </c>
      <c r="D163" s="10" t="inlineStr">
        <is>
          <t>Untagged lines are flagged</t>
        </is>
      </c>
      <c r="E163" s="11" t="inlineStr">
        <is>
          <t>Negative</t>
        </is>
      </c>
      <c r="F163" s="11" t="inlineStr">
        <is>
          <t>High</t>
        </is>
      </c>
      <c r="G163" s="10" t="inlineStr">
        <is>
          <t>A supply posted with no VAT treatment</t>
        </is>
      </c>
      <c r="H163" s="10" t="inlineStr">
        <is>
          <t>1. Open the VAT return</t>
        </is>
      </c>
      <c r="I163" s="10" t="inlineStr">
        <is>
          <t>-</t>
        </is>
      </c>
      <c r="J163" s="10" t="inlineStr">
        <is>
          <t>A warning names the amount not on the return and lists the vouchers to fix</t>
        </is>
      </c>
      <c r="K163" s="11" t="inlineStr">
        <is>
          <t>Not Run</t>
        </is>
      </c>
      <c r="L163" s="10" t="inlineStr"/>
      <c r="M163" s="10" t="inlineStr"/>
      <c r="N163" s="10" t="inlineStr"/>
    </row>
    <row r="164">
      <c r="A164" s="8" t="inlineStr">
        <is>
          <t>TC-FIN-069</t>
        </is>
      </c>
      <c r="B164" s="8" t="inlineStr">
        <is>
          <t>Finance</t>
        </is>
      </c>
      <c r="C164" s="8" t="inlineStr">
        <is>
          <t>VAT</t>
        </is>
      </c>
      <c r="D164" s="8" t="inlineStr">
        <is>
          <t>Quarter buttons match FTA periods</t>
        </is>
      </c>
      <c r="E164" s="9" t="inlineStr">
        <is>
          <t>Functional</t>
        </is>
      </c>
      <c r="F164" s="9" t="inlineStr">
        <is>
          <t>High</t>
        </is>
      </c>
      <c r="G164" s="8" t="inlineStr">
        <is>
          <t>VAT entries across the year</t>
        </is>
      </c>
      <c r="H164" s="8" t="inlineStr">
        <is>
          <t>1. Click Q1, then Q2</t>
        </is>
      </c>
      <c r="I164" s="8" t="inlineStr">
        <is>
          <t>-</t>
        </is>
      </c>
      <c r="J164" s="8" t="inlineStr">
        <is>
          <t>The figures change to that quarter only</t>
        </is>
      </c>
      <c r="K164" s="9" t="inlineStr">
        <is>
          <t>Not Run</t>
        </is>
      </c>
      <c r="L164" s="8" t="inlineStr"/>
      <c r="M164" s="8" t="inlineStr"/>
      <c r="N164" s="8" t="inlineStr"/>
    </row>
    <row r="165">
      <c r="A165" s="10" t="inlineStr">
        <is>
          <t>TC-FIN-070</t>
        </is>
      </c>
      <c r="B165" s="10" t="inlineStr">
        <is>
          <t>Finance</t>
        </is>
      </c>
      <c r="C165" s="10" t="inlineStr">
        <is>
          <t>VAT</t>
        </is>
      </c>
      <c r="D165" s="10" t="inlineStr">
        <is>
          <t>Party TRN shows on the return</t>
        </is>
      </c>
      <c r="E165" s="11" t="inlineStr">
        <is>
          <t>Functional</t>
        </is>
      </c>
      <c r="F165" s="11" t="inlineStr">
        <is>
          <t>Medium</t>
        </is>
      </c>
      <c r="G165" s="10" t="inlineStr">
        <is>
          <t>A party with a TRN, and an invoice to them</t>
        </is>
      </c>
      <c r="H165" s="10" t="inlineStr">
        <is>
          <t>1. Open the VAT return
2. Look at the transaction list</t>
        </is>
      </c>
      <c r="I165" s="10" t="inlineStr">
        <is>
          <t>-</t>
        </is>
      </c>
      <c r="J165" s="10" t="inlineStr">
        <is>
          <t>The TRN is shown against the transaction</t>
        </is>
      </c>
      <c r="K165" s="11" t="inlineStr">
        <is>
          <t>Not Run</t>
        </is>
      </c>
      <c r="L165" s="10" t="inlineStr"/>
      <c r="M165" s="10" t="inlineStr"/>
      <c r="N165" s="10" t="inlineStr"/>
    </row>
    <row r="166">
      <c r="A166" s="8" t="inlineStr">
        <is>
          <t>TC-FIN-071</t>
        </is>
      </c>
      <c r="B166" s="8" t="inlineStr">
        <is>
          <t>Finance</t>
        </is>
      </c>
      <c r="C166" s="8" t="inlineStr">
        <is>
          <t>Job costing</t>
        </is>
      </c>
      <c r="D166" s="8" t="inlineStr">
        <is>
          <t>Create a job</t>
        </is>
      </c>
      <c r="E166" s="9" t="inlineStr">
        <is>
          <t>Functional</t>
        </is>
      </c>
      <c r="F166" s="9" t="inlineStr">
        <is>
          <t>High</t>
        </is>
      </c>
      <c r="G166" s="8" t="inlineStr">
        <is>
          <t>Finance access</t>
        </is>
      </c>
      <c r="H166" s="8" t="inlineStr">
        <is>
          <t>1. Finance &gt; Job Costing
2. New job
3. Name it, set contract value and budget cost
4. Add job</t>
        </is>
      </c>
      <c r="I166" s="8" t="inlineStr">
        <is>
          <t>ADNOC pipeline / 450,000 / 300,000</t>
        </is>
      </c>
      <c r="J166" s="8" t="inlineStr">
        <is>
          <t>The job is listed with an auto code (J-0001 style) and zero revenue and cost</t>
        </is>
      </c>
      <c r="K166" s="9" t="inlineStr">
        <is>
          <t>Not Run</t>
        </is>
      </c>
      <c r="L166" s="8" t="inlineStr"/>
      <c r="M166" s="8" t="inlineStr"/>
      <c r="N166" s="8" t="inlineStr"/>
    </row>
    <row r="167">
      <c r="A167" s="10" t="inlineStr">
        <is>
          <t>TC-FIN-072</t>
        </is>
      </c>
      <c r="B167" s="10" t="inlineStr">
        <is>
          <t>Finance</t>
        </is>
      </c>
      <c r="C167" s="10" t="inlineStr">
        <is>
          <t>Job costing</t>
        </is>
      </c>
      <c r="D167" s="10" t="inlineStr">
        <is>
          <t>Charge a cost to a job</t>
        </is>
      </c>
      <c r="E167" s="11" t="inlineStr">
        <is>
          <t>Functional</t>
        </is>
      </c>
      <c r="F167" s="11" t="inlineStr">
        <is>
          <t>High</t>
        </is>
      </c>
      <c r="G167" s="10" t="inlineStr">
        <is>
          <t>A job exists</t>
        </is>
      </c>
      <c r="H167" s="10" t="inlineStr">
        <is>
          <t>1. Finance &gt; New journal entry
2. On the expense line set Charge to = the job
3. Post</t>
        </is>
      </c>
      <c r="I167" s="10" t="inlineStr">
        <is>
          <t>expense 10,000</t>
        </is>
      </c>
      <c r="J167" s="10" t="inlineStr">
        <is>
          <t>The job's Cost rises by 10,000 and Margin falls by the same</t>
        </is>
      </c>
      <c r="K167" s="11" t="inlineStr">
        <is>
          <t>Not Run</t>
        </is>
      </c>
      <c r="L167" s="10" t="inlineStr"/>
      <c r="M167" s="10" t="inlineStr"/>
      <c r="N167" s="10" t="inlineStr"/>
    </row>
    <row r="168">
      <c r="A168" s="8" t="inlineStr">
        <is>
          <t>TC-FIN-073</t>
        </is>
      </c>
      <c r="B168" s="8" t="inlineStr">
        <is>
          <t>Finance</t>
        </is>
      </c>
      <c r="C168" s="8" t="inlineStr">
        <is>
          <t>Job costing</t>
        </is>
      </c>
      <c r="D168" s="8" t="inlineStr">
        <is>
          <t>Charge revenue to a job</t>
        </is>
      </c>
      <c r="E168" s="9" t="inlineStr">
        <is>
          <t>Functional</t>
        </is>
      </c>
      <c r="F168" s="9" t="inlineStr">
        <is>
          <t>High</t>
        </is>
      </c>
      <c r="G168" s="8" t="inlineStr">
        <is>
          <t>A job exists</t>
        </is>
      </c>
      <c r="H168" s="8" t="inlineStr">
        <is>
          <t>1. Post a sales voucher with Charge to = the job on the income line</t>
        </is>
      </c>
      <c r="I168" s="8" t="inlineStr">
        <is>
          <t>invoice 50,000</t>
        </is>
      </c>
      <c r="J168" s="8" t="inlineStr">
        <is>
          <t>The job's Revenue rises by 50,000 and Margin rises by the same</t>
        </is>
      </c>
      <c r="K168" s="9" t="inlineStr">
        <is>
          <t>Not Run</t>
        </is>
      </c>
      <c r="L168" s="8" t="inlineStr"/>
      <c r="M168" s="8" t="inlineStr"/>
      <c r="N168" s="8" t="inlineStr"/>
    </row>
    <row r="169">
      <c r="A169" s="10" t="inlineStr">
        <is>
          <t>TC-FIN-074</t>
        </is>
      </c>
      <c r="B169" s="10" t="inlineStr">
        <is>
          <t>Finance</t>
        </is>
      </c>
      <c r="C169" s="10" t="inlineStr">
        <is>
          <t>Job costing</t>
        </is>
      </c>
      <c r="D169" s="10" t="inlineStr">
        <is>
          <t>Margin and percentage are correct</t>
        </is>
      </c>
      <c r="E169" s="11" t="inlineStr">
        <is>
          <t>Functional</t>
        </is>
      </c>
      <c r="F169" s="11" t="inlineStr">
        <is>
          <t>High</t>
        </is>
      </c>
      <c r="G169" s="10" t="inlineStr">
        <is>
          <t>A job with revenue and cost</t>
        </is>
      </c>
      <c r="H169" s="10" t="inlineStr">
        <is>
          <t>1. Read the job row</t>
        </is>
      </c>
      <c r="I169" s="10" t="inlineStr">
        <is>
          <t>250,000 revenue / 170,000 cost</t>
        </is>
      </c>
      <c r="J169" s="10" t="inlineStr">
        <is>
          <t>Margin shows 80,000 and 32.0%</t>
        </is>
      </c>
      <c r="K169" s="11" t="inlineStr">
        <is>
          <t>Not Run</t>
        </is>
      </c>
      <c r="L169" s="10" t="inlineStr"/>
      <c r="M169" s="10" t="inlineStr"/>
      <c r="N169" s="10" t="inlineStr"/>
    </row>
    <row r="170">
      <c r="A170" s="8" t="inlineStr">
        <is>
          <t>TC-FIN-075</t>
        </is>
      </c>
      <c r="B170" s="8" t="inlineStr">
        <is>
          <t>Finance</t>
        </is>
      </c>
      <c r="C170" s="8" t="inlineStr">
        <is>
          <t>Job costing</t>
        </is>
      </c>
      <c r="D170" s="8" t="inlineStr">
        <is>
          <t>Budget used warns when over</t>
        </is>
      </c>
      <c r="E170" s="9" t="inlineStr">
        <is>
          <t>Functional</t>
        </is>
      </c>
      <c r="F170" s="9" t="inlineStr">
        <is>
          <t>Medium</t>
        </is>
      </c>
      <c r="G170" s="8" t="inlineStr">
        <is>
          <t>A job with a budget cost</t>
        </is>
      </c>
      <c r="H170" s="8" t="inlineStr">
        <is>
          <t>1. Post costs beyond the budget
2. Read Budget used</t>
        </is>
      </c>
      <c r="I170" s="8" t="inlineStr">
        <is>
          <t>cost greater than budget</t>
        </is>
      </c>
      <c r="J170" s="8" t="inlineStr">
        <is>
          <t>The percentage shows in red with 'over' beside it</t>
        </is>
      </c>
      <c r="K170" s="9" t="inlineStr">
        <is>
          <t>Not Run</t>
        </is>
      </c>
      <c r="L170" s="8" t="inlineStr"/>
      <c r="M170" s="8" t="inlineStr"/>
      <c r="N170" s="8" t="inlineStr"/>
    </row>
    <row r="171">
      <c r="A171" s="10" t="inlineStr">
        <is>
          <t>TC-FIN-076</t>
        </is>
      </c>
      <c r="B171" s="10" t="inlineStr">
        <is>
          <t>Finance</t>
        </is>
      </c>
      <c r="C171" s="10" t="inlineStr">
        <is>
          <t>Job costing</t>
        </is>
      </c>
      <c r="D171" s="10" t="inlineStr">
        <is>
          <t>Figures follow the date range</t>
        </is>
      </c>
      <c r="E171" s="11" t="inlineStr">
        <is>
          <t>Functional</t>
        </is>
      </c>
      <c r="F171" s="11" t="inlineStr">
        <is>
          <t>High</t>
        </is>
      </c>
      <c r="G171" s="10" t="inlineStr">
        <is>
          <t>Postings across several months</t>
        </is>
      </c>
      <c r="H171" s="10" t="inlineStr">
        <is>
          <t>1. Change the period at the top of the screen</t>
        </is>
      </c>
      <c r="I171" s="10" t="inlineStr">
        <is>
          <t>Q1, then the full year</t>
        </is>
      </c>
      <c r="J171" s="10" t="inlineStr">
        <is>
          <t>Revenue and Cost change to that period only</t>
        </is>
      </c>
      <c r="K171" s="11" t="inlineStr">
        <is>
          <t>Not Run</t>
        </is>
      </c>
      <c r="L171" s="10" t="inlineStr"/>
      <c r="M171" s="10" t="inlineStr"/>
      <c r="N171" s="10" t="inlineStr"/>
    </row>
    <row r="172">
      <c r="A172" s="8" t="inlineStr">
        <is>
          <t>TC-FIN-077</t>
        </is>
      </c>
      <c r="B172" s="8" t="inlineStr">
        <is>
          <t>Finance</t>
        </is>
      </c>
      <c r="C172" s="8" t="inlineStr">
        <is>
          <t>Job costing</t>
        </is>
      </c>
      <c r="D172" s="8" t="inlineStr">
        <is>
          <t>A sub-job rolls up into its parent</t>
        </is>
      </c>
      <c r="E172" s="9" t="inlineStr">
        <is>
          <t>Functional</t>
        </is>
      </c>
      <c r="F172" s="9" t="inlineStr">
        <is>
          <t>High</t>
        </is>
      </c>
      <c r="G172" s="8" t="inlineStr">
        <is>
          <t>Two jobs exist</t>
        </is>
      </c>
      <c r="H172" s="8" t="inlineStr">
        <is>
          <t>1. Edit the second job
2. Set 'Part of' to the first
3. Post a cost to the sub-job</t>
        </is>
      </c>
      <c r="I172" s="8" t="inlineStr">
        <is>
          <t>cost 5,000 on the sub-job</t>
        </is>
      </c>
      <c r="J172" s="8" t="inlineStr">
        <is>
          <t>The sub-job is indented under the parent; the parent shows 'incl. sub-jobs' and its Cost includes the 5,000</t>
        </is>
      </c>
      <c r="K172" s="9" t="inlineStr">
        <is>
          <t>Not Run</t>
        </is>
      </c>
      <c r="L172" s="8" t="inlineStr"/>
      <c r="M172" s="8" t="inlineStr"/>
      <c r="N172" s="8" t="inlineStr"/>
    </row>
    <row r="173">
      <c r="A173" s="10" t="inlineStr">
        <is>
          <t>TC-FIN-078</t>
        </is>
      </c>
      <c r="B173" s="10" t="inlineStr">
        <is>
          <t>Finance</t>
        </is>
      </c>
      <c r="C173" s="10" t="inlineStr">
        <is>
          <t>Job costing</t>
        </is>
      </c>
      <c r="D173" s="10" t="inlineStr">
        <is>
          <t>The total counts each job once</t>
        </is>
      </c>
      <c r="E173" s="11" t="inlineStr">
        <is>
          <t>Functional</t>
        </is>
      </c>
      <c r="F173" s="11" t="inlineStr">
        <is>
          <t>High</t>
        </is>
      </c>
      <c r="G173" s="10" t="inlineStr">
        <is>
          <t>A parent job with a sub-job</t>
        </is>
      </c>
      <c r="H173" s="10" t="inlineStr">
        <is>
          <t>1. Read the Total row at the foot</t>
        </is>
      </c>
      <c r="I173" s="10" t="inlineStr">
        <is>
          <t>-</t>
        </is>
      </c>
      <c r="J173" s="10" t="inlineStr">
        <is>
          <t>The total equals the sum of what was posted, not parent plus child added twice</t>
        </is>
      </c>
      <c r="K173" s="11" t="inlineStr">
        <is>
          <t>Not Run</t>
        </is>
      </c>
      <c r="L173" s="10" t="inlineStr"/>
      <c r="M173" s="10" t="inlineStr"/>
      <c r="N173" s="10" t="inlineStr"/>
    </row>
    <row r="174">
      <c r="A174" s="8" t="inlineStr">
        <is>
          <t>TC-FIN-079</t>
        </is>
      </c>
      <c r="B174" s="8" t="inlineStr">
        <is>
          <t>Finance</t>
        </is>
      </c>
      <c r="C174" s="8" t="inlineStr">
        <is>
          <t>Job costing</t>
        </is>
      </c>
      <c r="D174" s="8" t="inlineStr">
        <is>
          <t>Kind of work does not change the costing</t>
        </is>
      </c>
      <c r="E174" s="9" t="inlineStr">
        <is>
          <t>Functional</t>
        </is>
      </c>
      <c r="F174" s="9" t="inlineStr">
        <is>
          <t>Medium</t>
        </is>
      </c>
      <c r="G174" s="8" t="inlineStr">
        <is>
          <t>Finance access</t>
        </is>
      </c>
      <c r="H174" s="8" t="inlineStr">
        <is>
          <t>1. Create one job as Contract and one as Project
2. Post a cost to each</t>
        </is>
      </c>
      <c r="I174" s="8" t="inlineStr">
        <is>
          <t>-</t>
        </is>
      </c>
      <c r="J174" s="8" t="inlineStr">
        <is>
          <t>Both are costed identically; the type is shown only as a label</t>
        </is>
      </c>
      <c r="K174" s="9" t="inlineStr">
        <is>
          <t>Not Run</t>
        </is>
      </c>
      <c r="L174" s="8" t="inlineStr"/>
      <c r="M174" s="8" t="inlineStr"/>
      <c r="N174" s="8" t="inlineStr"/>
    </row>
    <row r="175">
      <c r="A175" s="10" t="inlineStr">
        <is>
          <t>TC-FIN-080</t>
        </is>
      </c>
      <c r="B175" s="10" t="inlineStr">
        <is>
          <t>Finance</t>
        </is>
      </c>
      <c r="C175" s="10" t="inlineStr">
        <is>
          <t>Job costing</t>
        </is>
      </c>
      <c r="D175" s="10" t="inlineStr">
        <is>
          <t>A job cannot be its own parent</t>
        </is>
      </c>
      <c r="E175" s="11" t="inlineStr">
        <is>
          <t>Negative</t>
        </is>
      </c>
      <c r="F175" s="11" t="inlineStr">
        <is>
          <t>High</t>
        </is>
      </c>
      <c r="G175" s="10" t="inlineStr">
        <is>
          <t>A job exists</t>
        </is>
      </c>
      <c r="H175" s="10" t="inlineStr">
        <is>
          <t>1. Edit the job
2. Set 'Part of' to itself
3. Save</t>
        </is>
      </c>
      <c r="I175" s="10" t="inlineStr">
        <is>
          <t>-</t>
        </is>
      </c>
      <c r="J175" s="10" t="inlineStr">
        <is>
          <t>Refused: 'A job cannot be its own parent'</t>
        </is>
      </c>
      <c r="K175" s="11" t="inlineStr">
        <is>
          <t>Not Run</t>
        </is>
      </c>
      <c r="L175" s="10" t="inlineStr"/>
      <c r="M175" s="10" t="inlineStr"/>
      <c r="N175" s="10" t="inlineStr"/>
    </row>
    <row r="176">
      <c r="A176" s="8" t="inlineStr">
        <is>
          <t>TC-FIN-081</t>
        </is>
      </c>
      <c r="B176" s="8" t="inlineStr">
        <is>
          <t>Finance</t>
        </is>
      </c>
      <c r="C176" s="8" t="inlineStr">
        <is>
          <t>Job costing</t>
        </is>
      </c>
      <c r="D176" s="8" t="inlineStr">
        <is>
          <t>A job cannot be moved inside its own sub-job</t>
        </is>
      </c>
      <c r="E176" s="9" t="inlineStr">
        <is>
          <t>Negative</t>
        </is>
      </c>
      <c r="F176" s="9" t="inlineStr">
        <is>
          <t>High</t>
        </is>
      </c>
      <c r="G176" s="8" t="inlineStr">
        <is>
          <t>A parent job with a sub-job</t>
        </is>
      </c>
      <c r="H176" s="8" t="inlineStr">
        <is>
          <t>1. Edit the parent
2. Set 'Part of' to its own sub-job
3. Save</t>
        </is>
      </c>
      <c r="I176" s="8" t="inlineStr">
        <is>
          <t>-</t>
        </is>
      </c>
      <c r="J176" s="8" t="inlineStr">
        <is>
          <t>Refused with a message about putting the job inside one of its own sub-jobs; the screen still loads</t>
        </is>
      </c>
      <c r="K176" s="9" t="inlineStr">
        <is>
          <t>Not Run</t>
        </is>
      </c>
      <c r="L176" s="8" t="inlineStr"/>
      <c r="M176" s="8" t="inlineStr"/>
      <c r="N176" s="8" t="inlineStr"/>
    </row>
    <row r="177">
      <c r="A177" s="10" t="inlineStr">
        <is>
          <t>TC-FIN-082</t>
        </is>
      </c>
      <c r="B177" s="10" t="inlineStr">
        <is>
          <t>Finance</t>
        </is>
      </c>
      <c r="C177" s="10" t="inlineStr">
        <is>
          <t>Job costing</t>
        </is>
      </c>
      <c r="D177" s="10" t="inlineStr">
        <is>
          <t>A parent with sub-jobs cannot be deleted</t>
        </is>
      </c>
      <c r="E177" s="11" t="inlineStr">
        <is>
          <t>Negative</t>
        </is>
      </c>
      <c r="F177" s="11" t="inlineStr">
        <is>
          <t>High</t>
        </is>
      </c>
      <c r="G177" s="10" t="inlineStr">
        <is>
          <t>A parent job with a sub-job</t>
        </is>
      </c>
      <c r="H177" s="10" t="inlineStr">
        <is>
          <t>1. Delete the parent</t>
        </is>
      </c>
      <c r="I177" s="10" t="inlineStr">
        <is>
          <t>-</t>
        </is>
      </c>
      <c r="J177" s="10" t="inlineStr">
        <is>
          <t>Refused, naming how many sub-jobs sit under it</t>
        </is>
      </c>
      <c r="K177" s="11" t="inlineStr">
        <is>
          <t>Not Run</t>
        </is>
      </c>
      <c r="L177" s="10" t="inlineStr"/>
      <c r="M177" s="10" t="inlineStr"/>
      <c r="N177" s="10" t="inlineStr"/>
    </row>
    <row r="178">
      <c r="A178" s="8" t="inlineStr">
        <is>
          <t>TC-FIN-083</t>
        </is>
      </c>
      <c r="B178" s="8" t="inlineStr">
        <is>
          <t>Finance</t>
        </is>
      </c>
      <c r="C178" s="8" t="inlineStr">
        <is>
          <t>Job costing</t>
        </is>
      </c>
      <c r="D178" s="8" t="inlineStr">
        <is>
          <t>A job with postings cannot be deleted</t>
        </is>
      </c>
      <c r="E178" s="9" t="inlineStr">
        <is>
          <t>Negative</t>
        </is>
      </c>
      <c r="F178" s="9" t="inlineStr">
        <is>
          <t>High</t>
        </is>
      </c>
      <c r="G178" s="8" t="inlineStr">
        <is>
          <t>A job with vouchers against it</t>
        </is>
      </c>
      <c r="H178" s="8" t="inlineStr">
        <is>
          <t>1. Delete the job</t>
        </is>
      </c>
      <c r="I178" s="8" t="inlineStr">
        <is>
          <t>-</t>
        </is>
      </c>
      <c r="J178" s="8" t="inlineStr">
        <is>
          <t>Refused: set it to Closed instead, naming the number of postings</t>
        </is>
      </c>
      <c r="K178" s="9" t="inlineStr">
        <is>
          <t>Not Run</t>
        </is>
      </c>
      <c r="L178" s="8" t="inlineStr"/>
      <c r="M178" s="8" t="inlineStr"/>
      <c r="N178" s="8" t="inlineStr"/>
    </row>
    <row r="179">
      <c r="A179" s="10" t="inlineStr">
        <is>
          <t>TC-FIN-084</t>
        </is>
      </c>
      <c r="B179" s="10" t="inlineStr">
        <is>
          <t>Finance</t>
        </is>
      </c>
      <c r="C179" s="10" t="inlineStr">
        <is>
          <t>Job costing</t>
        </is>
      </c>
      <c r="D179" s="10" t="inlineStr">
        <is>
          <t>A customer from another company is refused</t>
        </is>
      </c>
      <c r="E179" s="11" t="inlineStr">
        <is>
          <t>Negative</t>
        </is>
      </c>
      <c r="F179" s="11" t="inlineStr">
        <is>
          <t>High</t>
        </is>
      </c>
      <c r="G179" s="10" t="inlineStr">
        <is>
          <t>Two companies with parties</t>
        </is>
      </c>
      <c r="H179" s="10" t="inlineStr">
        <is>
          <t>1. Create a job and pick a customer from another company</t>
        </is>
      </c>
      <c r="I179" s="10" t="inlineStr">
        <is>
          <t>-</t>
        </is>
      </c>
      <c r="J179" s="10" t="inlineStr">
        <is>
          <t>Refused: that customer is not in this company</t>
        </is>
      </c>
      <c r="K179" s="11" t="inlineStr">
        <is>
          <t>Not Run</t>
        </is>
      </c>
      <c r="L179" s="10" t="inlineStr"/>
      <c r="M179" s="10" t="inlineStr"/>
      <c r="N179" s="10" t="inlineStr"/>
    </row>
    <row r="180">
      <c r="A180" s="8" t="inlineStr">
        <is>
          <t>TC-FIN-085</t>
        </is>
      </c>
      <c r="B180" s="8" t="inlineStr">
        <is>
          <t>Finance</t>
        </is>
      </c>
      <c r="C180" s="8" t="inlineStr">
        <is>
          <t>Job costing</t>
        </is>
      </c>
      <c r="D180" s="8" t="inlineStr">
        <is>
          <t>Export the job list</t>
        </is>
      </c>
      <c r="E180" s="9" t="inlineStr">
        <is>
          <t>Functional</t>
        </is>
      </c>
      <c r="F180" s="9" t="inlineStr">
        <is>
          <t>Medium</t>
        </is>
      </c>
      <c r="G180" s="8" t="inlineStr">
        <is>
          <t>Jobs exist</t>
        </is>
      </c>
      <c r="H180" s="8" t="inlineStr">
        <is>
          <t>1. Click Export jobs
2. Open the file</t>
        </is>
      </c>
      <c r="I180" s="8" t="inlineStr">
        <is>
          <t>-</t>
        </is>
      </c>
      <c r="J180" s="8" t="inlineStr">
        <is>
          <t>A .csv downloads with Code, Job, Type, Part Of, Revenue, Cost and Margin columns</t>
        </is>
      </c>
      <c r="K180" s="9" t="inlineStr">
        <is>
          <t>Not Run</t>
        </is>
      </c>
      <c r="L180" s="8" t="inlineStr"/>
      <c r="M180" s="8" t="inlineStr"/>
      <c r="N180" s="8" t="inlineStr"/>
    </row>
    <row r="181">
      <c r="A181" s="10" t="inlineStr">
        <is>
          <t>TC-FIN-086</t>
        </is>
      </c>
      <c r="B181" s="10" t="inlineStr">
        <is>
          <t>Finance</t>
        </is>
      </c>
      <c r="C181" s="10" t="inlineStr">
        <is>
          <t>Cost centres</t>
        </is>
      </c>
      <c r="D181" s="10" t="inlineStr">
        <is>
          <t>Create a cost centre</t>
        </is>
      </c>
      <c r="E181" s="11" t="inlineStr">
        <is>
          <t>Functional</t>
        </is>
      </c>
      <c r="F181" s="11" t="inlineStr">
        <is>
          <t>High</t>
        </is>
      </c>
      <c r="G181" s="10" t="inlineStr">
        <is>
          <t>Finance access</t>
        </is>
      </c>
      <c r="H181" s="10" t="inlineStr">
        <is>
          <t>1. Finance &gt; Cost Centres
2. New cost centre
3. Name it
4. Add</t>
        </is>
      </c>
      <c r="I181" s="10" t="inlineStr">
        <is>
          <t>Workshop</t>
        </is>
      </c>
      <c r="J181" s="10" t="inlineStr">
        <is>
          <t>The cost centre is listed with an auto code (CC-01 style)</t>
        </is>
      </c>
      <c r="K181" s="11" t="inlineStr">
        <is>
          <t>Not Run</t>
        </is>
      </c>
      <c r="L181" s="10" t="inlineStr"/>
      <c r="M181" s="10" t="inlineStr"/>
      <c r="N181" s="10" t="inlineStr"/>
    </row>
    <row r="182">
      <c r="A182" s="8" t="inlineStr">
        <is>
          <t>TC-FIN-087</t>
        </is>
      </c>
      <c r="B182" s="8" t="inlineStr">
        <is>
          <t>Finance</t>
        </is>
      </c>
      <c r="C182" s="8" t="inlineStr">
        <is>
          <t>Cost centres</t>
        </is>
      </c>
      <c r="D182" s="8" t="inlineStr">
        <is>
          <t>Charge an overhead to a cost centre</t>
        </is>
      </c>
      <c r="E182" s="9" t="inlineStr">
        <is>
          <t>Functional</t>
        </is>
      </c>
      <c r="F182" s="9" t="inlineStr">
        <is>
          <t>High</t>
        </is>
      </c>
      <c r="G182" s="8" t="inlineStr">
        <is>
          <t>A cost centre exists</t>
        </is>
      </c>
      <c r="H182" s="8" t="inlineStr">
        <is>
          <t>1. Post a voucher with Charge to = the cost centre on the expense line</t>
        </is>
      </c>
      <c r="I182" s="8" t="inlineStr">
        <is>
          <t>rent 12,000</t>
        </is>
      </c>
      <c r="J182" s="8" t="inlineStr">
        <is>
          <t>Own cost for that centre shows 12,000 and 'Overhead on cost centres' rises by the same</t>
        </is>
      </c>
      <c r="K182" s="9" t="inlineStr">
        <is>
          <t>Not Run</t>
        </is>
      </c>
      <c r="L182" s="8" t="inlineStr"/>
      <c r="M182" s="8" t="inlineStr"/>
      <c r="N182" s="8" t="inlineStr"/>
    </row>
    <row r="183">
      <c r="A183" s="10" t="inlineStr">
        <is>
          <t>TC-FIN-088</t>
        </is>
      </c>
      <c r="B183" s="10" t="inlineStr">
        <is>
          <t>Finance</t>
        </is>
      </c>
      <c r="C183" s="10" t="inlineStr">
        <is>
          <t>Cost centres</t>
        </is>
      </c>
      <c r="D183" s="10" t="inlineStr">
        <is>
          <t>A child rolls up into its parent</t>
        </is>
      </c>
      <c r="E183" s="11" t="inlineStr">
        <is>
          <t>Functional</t>
        </is>
      </c>
      <c r="F183" s="11" t="inlineStr">
        <is>
          <t>High</t>
        </is>
      </c>
      <c r="G183" s="10" t="inlineStr">
        <is>
          <t>Two cost centres exist</t>
        </is>
      </c>
      <c r="H183" s="10" t="inlineStr">
        <is>
          <t>1. Set one to sit under the other
2. Post a cost to the child</t>
        </is>
      </c>
      <c r="I183" s="10" t="inlineStr">
        <is>
          <t>cost 900 on the child</t>
        </is>
      </c>
      <c r="J183" s="10" t="inlineStr">
        <is>
          <t>The child is indented; the parent's 'Including below' shows 900 while its Own cost stays 0.00</t>
        </is>
      </c>
      <c r="K183" s="11" t="inlineStr">
        <is>
          <t>Not Run</t>
        </is>
      </c>
      <c r="L183" s="10" t="inlineStr"/>
      <c r="M183" s="10" t="inlineStr"/>
      <c r="N183" s="10" t="inlineStr"/>
    </row>
    <row r="184">
      <c r="A184" s="8" t="inlineStr">
        <is>
          <t>TC-FIN-089</t>
        </is>
      </c>
      <c r="B184" s="8" t="inlineStr">
        <is>
          <t>Finance</t>
        </is>
      </c>
      <c r="C184" s="8" t="inlineStr">
        <is>
          <t>Cost centres</t>
        </is>
      </c>
      <c r="D184" s="8" t="inlineStr">
        <is>
          <t>Untagged cost is reported</t>
        </is>
      </c>
      <c r="E184" s="9" t="inlineStr">
        <is>
          <t>Functional</t>
        </is>
      </c>
      <c r="F184" s="9" t="inlineStr">
        <is>
          <t>High</t>
        </is>
      </c>
      <c r="G184" s="8" t="inlineStr">
        <is>
          <t>Finance access</t>
        </is>
      </c>
      <c r="H184" s="8" t="inlineStr">
        <is>
          <t>1. Post an expense with Charge to left blank
2. Open Cost Centres</t>
        </is>
      </c>
      <c r="I184" s="8" t="inlineStr">
        <is>
          <t>expense 250</t>
        </is>
      </c>
      <c r="J184" s="8" t="inlineStr">
        <is>
          <t>'Cost with nothing on it' shows 250 with a warning, and links to the Day Book</t>
        </is>
      </c>
      <c r="K184" s="9" t="inlineStr">
        <is>
          <t>Not Run</t>
        </is>
      </c>
      <c r="L184" s="8" t="inlineStr"/>
      <c r="M184" s="8" t="inlineStr"/>
      <c r="N184" s="8" t="inlineStr"/>
    </row>
    <row r="185">
      <c r="A185" s="10" t="inlineStr">
        <is>
          <t>TC-FIN-090</t>
        </is>
      </c>
      <c r="B185" s="10" t="inlineStr">
        <is>
          <t>Finance</t>
        </is>
      </c>
      <c r="C185" s="10" t="inlineStr">
        <is>
          <t>Cost centres</t>
        </is>
      </c>
      <c r="D185" s="10" t="inlineStr">
        <is>
          <t>Untagged figure clears when tagged</t>
        </is>
      </c>
      <c r="E185" s="11" t="inlineStr">
        <is>
          <t>Functional</t>
        </is>
      </c>
      <c r="F185" s="11" t="inlineStr">
        <is>
          <t>High</t>
        </is>
      </c>
      <c r="G185" s="10" t="inlineStr">
        <is>
          <t>An untagged expense exists</t>
        </is>
      </c>
      <c r="H185" s="10" t="inlineStr">
        <is>
          <t>1. Reverse it and repost with a job or cost centre</t>
        </is>
      </c>
      <c r="I185" s="10" t="inlineStr">
        <is>
          <t>-</t>
        </is>
      </c>
      <c r="J185" s="10" t="inlineStr">
        <is>
          <t>'Cost with nothing on it' returns to 0.00 and reads 'every cost in this period is tagged'</t>
        </is>
      </c>
      <c r="K185" s="11" t="inlineStr">
        <is>
          <t>Not Run</t>
        </is>
      </c>
      <c r="L185" s="10" t="inlineStr"/>
      <c r="M185" s="10" t="inlineStr"/>
      <c r="N185" s="10" t="inlineStr"/>
    </row>
    <row r="186">
      <c r="A186" s="8" t="inlineStr">
        <is>
          <t>TC-FIN-091</t>
        </is>
      </c>
      <c r="B186" s="8" t="inlineStr">
        <is>
          <t>Finance</t>
        </is>
      </c>
      <c r="C186" s="8" t="inlineStr">
        <is>
          <t>Cost centres</t>
        </is>
      </c>
      <c r="D186" s="8" t="inlineStr">
        <is>
          <t>A line cannot take both a job and a cost centre</t>
        </is>
      </c>
      <c r="E186" s="9" t="inlineStr">
        <is>
          <t>Negative</t>
        </is>
      </c>
      <c r="F186" s="9" t="inlineStr">
        <is>
          <t>High</t>
        </is>
      </c>
      <c r="G186" s="8" t="inlineStr">
        <is>
          <t>A job and a cost centre exist</t>
        </is>
      </c>
      <c r="H186" s="8" t="inlineStr">
        <is>
          <t>1. Open a voucher line
2. Look at the Charge to list</t>
        </is>
      </c>
      <c r="I186" s="8" t="inlineStr">
        <is>
          <t>-</t>
        </is>
      </c>
      <c r="J186" s="8" t="inlineStr">
        <is>
          <t>The list offers one choice with Jobs and Cost centres as separate groups, so both can never be set at once</t>
        </is>
      </c>
      <c r="K186" s="9" t="inlineStr">
        <is>
          <t>Not Run</t>
        </is>
      </c>
      <c r="L186" s="8" t="inlineStr"/>
      <c r="M186" s="8" t="inlineStr"/>
      <c r="N186" s="8" t="inlineStr"/>
    </row>
    <row r="187">
      <c r="A187" s="10" t="inlineStr">
        <is>
          <t>TC-FIN-092</t>
        </is>
      </c>
      <c r="B187" s="10" t="inlineStr">
        <is>
          <t>Finance</t>
        </is>
      </c>
      <c r="C187" s="10" t="inlineStr">
        <is>
          <t>Cost centres</t>
        </is>
      </c>
      <c r="D187" s="10" t="inlineStr">
        <is>
          <t>A cost centre cannot be its own parent</t>
        </is>
      </c>
      <c r="E187" s="11" t="inlineStr">
        <is>
          <t>Negative</t>
        </is>
      </c>
      <c r="F187" s="11" t="inlineStr">
        <is>
          <t>High</t>
        </is>
      </c>
      <c r="G187" s="10" t="inlineStr">
        <is>
          <t>A cost centre exists</t>
        </is>
      </c>
      <c r="H187" s="10" t="inlineStr">
        <is>
          <t>1. Edit it
2. Set 'Sits under' to itself
3. Save</t>
        </is>
      </c>
      <c r="I187" s="10" t="inlineStr">
        <is>
          <t>-</t>
        </is>
      </c>
      <c r="J187" s="10" t="inlineStr">
        <is>
          <t>Refused: a cost centre cannot be its own parent</t>
        </is>
      </c>
      <c r="K187" s="11" t="inlineStr">
        <is>
          <t>Not Run</t>
        </is>
      </c>
      <c r="L187" s="10" t="inlineStr"/>
      <c r="M187" s="10" t="inlineStr"/>
      <c r="N187" s="10" t="inlineStr"/>
    </row>
    <row r="188">
      <c r="A188" s="8" t="inlineStr">
        <is>
          <t>TC-FIN-093</t>
        </is>
      </c>
      <c r="B188" s="8" t="inlineStr">
        <is>
          <t>Finance</t>
        </is>
      </c>
      <c r="C188" s="8" t="inlineStr">
        <is>
          <t>Cost centres</t>
        </is>
      </c>
      <c r="D188" s="8" t="inlineStr">
        <is>
          <t>A centre with postings cannot be deleted</t>
        </is>
      </c>
      <c r="E188" s="9" t="inlineStr">
        <is>
          <t>Negative</t>
        </is>
      </c>
      <c r="F188" s="9" t="inlineStr">
        <is>
          <t>High</t>
        </is>
      </c>
      <c r="G188" s="8" t="inlineStr">
        <is>
          <t>A cost centre with vouchers against it</t>
        </is>
      </c>
      <c r="H188" s="8" t="inlineStr">
        <is>
          <t>1. Delete it</t>
        </is>
      </c>
      <c r="I188" s="8" t="inlineStr">
        <is>
          <t>-</t>
        </is>
      </c>
      <c r="J188" s="8" t="inlineStr">
        <is>
          <t>Refused: untick Active instead, naming the number of postings</t>
        </is>
      </c>
      <c r="K188" s="9" t="inlineStr">
        <is>
          <t>Not Run</t>
        </is>
      </c>
      <c r="L188" s="8" t="inlineStr"/>
      <c r="M188" s="8" t="inlineStr"/>
      <c r="N188" s="8" t="inlineStr"/>
    </row>
    <row r="189">
      <c r="A189" s="10" t="inlineStr">
        <is>
          <t>TC-FIN-094</t>
        </is>
      </c>
      <c r="B189" s="10" t="inlineStr">
        <is>
          <t>Finance</t>
        </is>
      </c>
      <c r="C189" s="10" t="inlineStr">
        <is>
          <t>Cost centres</t>
        </is>
      </c>
      <c r="D189" s="10" t="inlineStr">
        <is>
          <t>A centre with children cannot be deleted</t>
        </is>
      </c>
      <c r="E189" s="11" t="inlineStr">
        <is>
          <t>Negative</t>
        </is>
      </c>
      <c r="F189" s="11" t="inlineStr">
        <is>
          <t>Medium</t>
        </is>
      </c>
      <c r="G189" s="10" t="inlineStr">
        <is>
          <t>A parent cost centre with a child</t>
        </is>
      </c>
      <c r="H189" s="10" t="inlineStr">
        <is>
          <t>1. Delete the parent</t>
        </is>
      </c>
      <c r="I189" s="10" t="inlineStr">
        <is>
          <t>-</t>
        </is>
      </c>
      <c r="J189" s="10" t="inlineStr">
        <is>
          <t>Refused, naming how many sit under it</t>
        </is>
      </c>
      <c r="K189" s="11" t="inlineStr">
        <is>
          <t>Not Run</t>
        </is>
      </c>
      <c r="L189" s="10" t="inlineStr"/>
      <c r="M189" s="10" t="inlineStr"/>
      <c r="N189" s="10" t="inlineStr"/>
    </row>
    <row r="190">
      <c r="A190" s="8" t="inlineStr">
        <is>
          <t>TC-FIN-095</t>
        </is>
      </c>
      <c r="B190" s="8" t="inlineStr">
        <is>
          <t>Finance</t>
        </is>
      </c>
      <c r="C190" s="8" t="inlineStr">
        <is>
          <t>Cost centres</t>
        </is>
      </c>
      <c r="D190" s="8" t="inlineStr">
        <is>
          <t>Inactive centres are hidden when posting</t>
        </is>
      </c>
      <c r="E190" s="9" t="inlineStr">
        <is>
          <t>Functional</t>
        </is>
      </c>
      <c r="F190" s="9" t="inlineStr">
        <is>
          <t>Medium</t>
        </is>
      </c>
      <c r="G190" s="8" t="inlineStr">
        <is>
          <t>An inactive cost centre</t>
        </is>
      </c>
      <c r="H190" s="8" t="inlineStr">
        <is>
          <t>1. Open a new voucher
2. Open the Charge to list</t>
        </is>
      </c>
      <c r="I190" s="8" t="inlineStr">
        <is>
          <t>-</t>
        </is>
      </c>
      <c r="J190" s="8" t="inlineStr">
        <is>
          <t>The inactive centre is not offered; it still shows on the Cost Centres screen marked Inactive</t>
        </is>
      </c>
      <c r="K190" s="9" t="inlineStr">
        <is>
          <t>Not Run</t>
        </is>
      </c>
      <c r="L190" s="8" t="inlineStr"/>
      <c r="M190" s="8" t="inlineStr"/>
      <c r="N190" s="8" t="inlineStr"/>
    </row>
    <row r="191">
      <c r="A191" s="10" t="inlineStr">
        <is>
          <t>TC-FIN-096</t>
        </is>
      </c>
      <c r="B191" s="10" t="inlineStr">
        <is>
          <t>Finance</t>
        </is>
      </c>
      <c r="C191" s="10" t="inlineStr">
        <is>
          <t>Cost centres</t>
        </is>
      </c>
      <c r="D191" s="10" t="inlineStr">
        <is>
          <t>A reversal carries the job and cost centre</t>
        </is>
      </c>
      <c r="E191" s="11" t="inlineStr">
        <is>
          <t>Functional</t>
        </is>
      </c>
      <c r="F191" s="11" t="inlineStr">
        <is>
          <t>High</t>
        </is>
      </c>
      <c r="G191" s="10" t="inlineStr">
        <is>
          <t>A voucher charged to a job or centre</t>
        </is>
      </c>
      <c r="H191" s="10" t="inlineStr">
        <is>
          <t>1. Reverse the voucher
2. Re-read Job Costing and Cost Centres</t>
        </is>
      </c>
      <c r="I191" s="10" t="inlineStr">
        <is>
          <t>-</t>
        </is>
      </c>
      <c r="J191" s="10" t="inlineStr">
        <is>
          <t>The figures return to what they were before the original was posted</t>
        </is>
      </c>
      <c r="K191" s="11" t="inlineStr">
        <is>
          <t>Not Run</t>
        </is>
      </c>
      <c r="L191" s="10" t="inlineStr"/>
      <c r="M191" s="10" t="inlineStr"/>
      <c r="N191" s="10" t="inlineStr"/>
    </row>
    <row r="192">
      <c r="A192" s="8" t="inlineStr">
        <is>
          <t>TC-FIN-097</t>
        </is>
      </c>
      <c r="B192" s="8" t="inlineStr">
        <is>
          <t>Finance</t>
        </is>
      </c>
      <c r="C192" s="8" t="inlineStr">
        <is>
          <t>Cost centres</t>
        </is>
      </c>
      <c r="D192" s="8" t="inlineStr">
        <is>
          <t>Cost centres respect company access</t>
        </is>
      </c>
      <c r="E192" s="9" t="inlineStr">
        <is>
          <t>Negative</t>
        </is>
      </c>
      <c r="F192" s="9" t="inlineStr">
        <is>
          <t>High</t>
        </is>
      </c>
      <c r="G192" s="8" t="inlineStr">
        <is>
          <t>Two companies</t>
        </is>
      </c>
      <c r="H192" s="8" t="inlineStr">
        <is>
          <t>1. Try to charge a line to another company's cost centre</t>
        </is>
      </c>
      <c r="I192" s="8" t="inlineStr">
        <is>
          <t>-</t>
        </is>
      </c>
      <c r="J192" s="8" t="inlineStr">
        <is>
          <t>Refused: that cost centre does not belong to this company</t>
        </is>
      </c>
      <c r="K192" s="9" t="inlineStr">
        <is>
          <t>Not Run</t>
        </is>
      </c>
      <c r="L192" s="8" t="inlineStr"/>
      <c r="M192" s="8" t="inlineStr"/>
      <c r="N192" s="8" t="inlineStr"/>
    </row>
    <row r="193">
      <c r="A193" s="10" t="inlineStr">
        <is>
          <t>TC-FIN-098</t>
        </is>
      </c>
      <c r="B193" s="10" t="inlineStr">
        <is>
          <t>Finance</t>
        </is>
      </c>
      <c r="C193" s="10" t="inlineStr">
        <is>
          <t>Cost centres</t>
        </is>
      </c>
      <c r="D193" s="10" t="inlineStr">
        <is>
          <t>Finance roles can open the screen</t>
        </is>
      </c>
      <c r="E193" s="11" t="inlineStr">
        <is>
          <t>Functional</t>
        </is>
      </c>
      <c r="F193" s="11" t="inlineStr">
        <is>
          <t>High</t>
        </is>
      </c>
      <c r="G193" s="10" t="inlineStr">
        <is>
          <t>A Finance Controller user</t>
        </is>
      </c>
      <c r="H193" s="10" t="inlineStr">
        <is>
          <t>1. Sign in as that user
2. Open Finance</t>
        </is>
      </c>
      <c r="I193" s="10" t="inlineStr">
        <is>
          <t>-</t>
        </is>
      </c>
      <c r="J193" s="10" t="inlineStr">
        <is>
          <t>Cost Centres and Job Costing appear as tabs and open normally</t>
        </is>
      </c>
      <c r="K193" s="11" t="inlineStr">
        <is>
          <t>Not Run</t>
        </is>
      </c>
      <c r="L193" s="10" t="inlineStr"/>
      <c r="M193" s="10" t="inlineStr"/>
      <c r="N193" s="10" t="inlineStr"/>
    </row>
    <row r="194">
      <c r="A194" s="8" t="inlineStr">
        <is>
          <t>TC-GEN-001</t>
        </is>
      </c>
      <c r="B194" s="8" t="inlineStr">
        <is>
          <t>General</t>
        </is>
      </c>
      <c r="C194" s="8" t="inlineStr">
        <is>
          <t>UI</t>
        </is>
      </c>
      <c r="D194" s="8" t="inlineStr">
        <is>
          <t>Sidebar collapse persists</t>
        </is>
      </c>
      <c r="E194" s="9" t="inlineStr">
        <is>
          <t>UI</t>
        </is>
      </c>
      <c r="F194" s="9" t="inlineStr">
        <is>
          <t>Low</t>
        </is>
      </c>
      <c r="G194" s="8" t="inlineStr">
        <is>
          <t>Logged in</t>
        </is>
      </c>
      <c r="H194" s="8" t="inlineStr">
        <is>
          <t>1. Collapse sidebar
2. Reload</t>
        </is>
      </c>
      <c r="I194" s="8" t="inlineStr">
        <is>
          <t>-</t>
        </is>
      </c>
      <c r="J194" s="8" t="inlineStr">
        <is>
          <t>Sidebar stays collapsed (remembered)</t>
        </is>
      </c>
      <c r="K194" s="9" t="inlineStr">
        <is>
          <t>Not Run</t>
        </is>
      </c>
      <c r="L194" s="8" t="inlineStr"/>
      <c r="M194" s="8" t="inlineStr"/>
      <c r="N194" s="8" t="inlineStr"/>
    </row>
    <row r="195">
      <c r="A195" s="10" t="inlineStr">
        <is>
          <t>TC-GEN-002</t>
        </is>
      </c>
      <c r="B195" s="10" t="inlineStr">
        <is>
          <t>General</t>
        </is>
      </c>
      <c r="C195" s="10" t="inlineStr">
        <is>
          <t>UI</t>
        </is>
      </c>
      <c r="D195" s="10" t="inlineStr">
        <is>
          <t>Login logo not stretched</t>
        </is>
      </c>
      <c r="E195" s="11" t="inlineStr">
        <is>
          <t>UI</t>
        </is>
      </c>
      <c r="F195" s="11" t="inlineStr">
        <is>
          <t>Low</t>
        </is>
      </c>
      <c r="G195" s="10" t="inlineStr">
        <is>
          <t>-</t>
        </is>
      </c>
      <c r="H195" s="10" t="inlineStr">
        <is>
          <t>1. Open login page</t>
        </is>
      </c>
      <c r="I195" s="10" t="inlineStr">
        <is>
          <t>-</t>
        </is>
      </c>
      <c r="J195" s="10" t="inlineStr">
        <is>
          <t>Logo displays at correct aspect ratio</t>
        </is>
      </c>
      <c r="K195" s="11" t="inlineStr">
        <is>
          <t>Not Run</t>
        </is>
      </c>
      <c r="L195" s="10" t="inlineStr"/>
      <c r="M195" s="10" t="inlineStr"/>
      <c r="N195" s="10" t="inlineStr"/>
    </row>
    <row r="196">
      <c r="A196" s="8" t="inlineStr">
        <is>
          <t>TC-GEN-003</t>
        </is>
      </c>
      <c r="B196" s="8" t="inlineStr">
        <is>
          <t>General</t>
        </is>
      </c>
      <c r="C196" s="8" t="inlineStr">
        <is>
          <t>Export</t>
        </is>
      </c>
      <c r="D196" s="8" t="inlineStr">
        <is>
          <t>Export a list to Excel</t>
        </is>
      </c>
      <c r="E196" s="9" t="inlineStr">
        <is>
          <t>Functional</t>
        </is>
      </c>
      <c r="F196" s="9" t="inlineStr">
        <is>
          <t>High</t>
        </is>
      </c>
      <c r="G196" s="8" t="inlineStr">
        <is>
          <t>Signed in with HR access</t>
        </is>
      </c>
      <c r="H196" s="8" t="inlineStr">
        <is>
          <t>1. Open HR &gt; Employees
2. Click Export employees
3. Open the downloaded file in Excel</t>
        </is>
      </c>
      <c r="I196" s="8" t="inlineStr">
        <is>
          <t>-</t>
        </is>
      </c>
      <c r="J196" s="8" t="inlineStr">
        <is>
          <t>A .csv downloads and opens in Excel with readable columns; names with commas or accents display correctly</t>
        </is>
      </c>
      <c r="K196" s="9" t="inlineStr">
        <is>
          <t>Not Run</t>
        </is>
      </c>
      <c r="L196" s="8" t="inlineStr"/>
      <c r="M196" s="8" t="inlineStr"/>
      <c r="N196" s="8" t="inlineStr"/>
    </row>
    <row r="197">
      <c r="A197" s="10" t="inlineStr">
        <is>
          <t>TC-GEN-004</t>
        </is>
      </c>
      <c r="B197" s="10" t="inlineStr">
        <is>
          <t>General</t>
        </is>
      </c>
      <c r="C197" s="10" t="inlineStr">
        <is>
          <t>Export</t>
        </is>
      </c>
      <c r="D197" s="10" t="inlineStr">
        <is>
          <t>Every list screen offers an export</t>
        </is>
      </c>
      <c r="E197" s="11" t="inlineStr">
        <is>
          <t>Functional</t>
        </is>
      </c>
      <c r="F197" s="11" t="inlineStr">
        <is>
          <t>Medium</t>
        </is>
      </c>
      <c r="G197" s="10" t="inlineStr">
        <is>
          <t>Signed in as admin</t>
        </is>
      </c>
      <c r="H197" s="10" t="inlineStr">
        <is>
          <t>1. Visit Employees, Payroll, Leave, Attendance, Certifications, Settlements and Finance</t>
        </is>
      </c>
      <c r="I197" s="10" t="inlineStr">
        <is>
          <t>-</t>
        </is>
      </c>
      <c r="J197" s="10" t="inlineStr">
        <is>
          <t>Each screen has an Export button that downloads that screen's data</t>
        </is>
      </c>
      <c r="K197" s="11" t="inlineStr">
        <is>
          <t>Not Run</t>
        </is>
      </c>
      <c r="L197" s="10" t="inlineStr"/>
      <c r="M197" s="10" t="inlineStr"/>
      <c r="N197" s="10" t="inlineStr"/>
    </row>
    <row r="198">
      <c r="A198" s="8" t="inlineStr">
        <is>
          <t>TC-GEN-005</t>
        </is>
      </c>
      <c r="B198" s="8" t="inlineStr">
        <is>
          <t>General</t>
        </is>
      </c>
      <c r="C198" s="8" t="inlineStr">
        <is>
          <t>Export</t>
        </is>
      </c>
      <c r="D198" s="8" t="inlineStr">
        <is>
          <t>Export respects your company access</t>
        </is>
      </c>
      <c r="E198" s="9" t="inlineStr">
        <is>
          <t>Negative</t>
        </is>
      </c>
      <c r="F198" s="9" t="inlineStr">
        <is>
          <t>High</t>
        </is>
      </c>
      <c r="G198" s="8" t="inlineStr">
        <is>
          <t>User with access to one company only</t>
        </is>
      </c>
      <c r="H198" s="8" t="inlineStr">
        <is>
          <t>1. Sign in as that user
2. Export employees
3. Check the Company column</t>
        </is>
      </c>
      <c r="I198" s="8" t="inlineStr">
        <is>
          <t>-</t>
        </is>
      </c>
      <c r="J198" s="8" t="inlineStr">
        <is>
          <t>Only that company's rows are present; no other group company appears</t>
        </is>
      </c>
      <c r="K198" s="9" t="inlineStr">
        <is>
          <t>Not Run</t>
        </is>
      </c>
      <c r="L198" s="8" t="inlineStr"/>
      <c r="M198" s="8" t="inlineStr"/>
      <c r="N198" s="8" t="inlineStr"/>
    </row>
    <row r="199">
      <c r="A199" s="10" t="inlineStr">
        <is>
          <t>TC-GEN-006</t>
        </is>
      </c>
      <c r="B199" s="10" t="inlineStr">
        <is>
          <t>General</t>
        </is>
      </c>
      <c r="C199" s="10" t="inlineStr">
        <is>
          <t>Export</t>
        </is>
      </c>
      <c r="D199" s="10" t="inlineStr">
        <is>
          <t>Export respects screen permissions</t>
        </is>
      </c>
      <c r="E199" s="11" t="inlineStr">
        <is>
          <t>Negative</t>
        </is>
      </c>
      <c r="F199" s="11" t="inlineStr">
        <is>
          <t>High</t>
        </is>
      </c>
      <c r="G199" s="10" t="inlineStr">
        <is>
          <t>User without payroll access</t>
        </is>
      </c>
      <c r="H199" s="10" t="inlineStr">
        <is>
          <t>1. Sign in as that user
2. Try to reach the payroll export</t>
        </is>
      </c>
      <c r="I199" s="10" t="inlineStr">
        <is>
          <t>-</t>
        </is>
      </c>
      <c r="J199" s="10" t="inlineStr">
        <is>
          <t>The Payroll screen and its export are not available to them</t>
        </is>
      </c>
      <c r="K199" s="11" t="inlineStr">
        <is>
          <t>Not Run</t>
        </is>
      </c>
      <c r="L199" s="10" t="inlineStr"/>
      <c r="M199" s="10" t="inlineStr"/>
      <c r="N199" s="10" t="inlineStr"/>
    </row>
    <row r="200">
      <c r="A200" s="8" t="inlineStr">
        <is>
          <t>TC-GEN-007</t>
        </is>
      </c>
      <c r="B200" s="8" t="inlineStr">
        <is>
          <t>General</t>
        </is>
      </c>
      <c r="C200" s="8" t="inlineStr">
        <is>
          <t>Export</t>
        </is>
      </c>
      <c r="D200" s="8" t="inlineStr">
        <is>
          <t>Empty list reports nothing to export</t>
        </is>
      </c>
      <c r="E200" s="9" t="inlineStr">
        <is>
          <t>Negative</t>
        </is>
      </c>
      <c r="F200" s="9" t="inlineStr">
        <is>
          <t>Low</t>
        </is>
      </c>
      <c r="G200" s="8" t="inlineStr">
        <is>
          <t>A screen with no records</t>
        </is>
      </c>
      <c r="H200" s="8" t="inlineStr">
        <is>
          <t>1. Click Export on an empty screen</t>
        </is>
      </c>
      <c r="I200" s="8" t="inlineStr">
        <is>
          <t>-</t>
        </is>
      </c>
      <c r="J200" s="8" t="inlineStr">
        <is>
          <t>A clear message says there is nothing to export; no empty file downloads</t>
        </is>
      </c>
      <c r="K200" s="9" t="inlineStr">
        <is>
          <t>Not Run</t>
        </is>
      </c>
      <c r="L200" s="8" t="inlineStr"/>
      <c r="M200" s="8" t="inlineStr"/>
      <c r="N200" s="8" t="inlineStr"/>
    </row>
    <row r="201">
      <c r="A201" s="10" t="inlineStr">
        <is>
          <t>TC-GEN-008</t>
        </is>
      </c>
      <c r="B201" s="10" t="inlineStr">
        <is>
          <t>General</t>
        </is>
      </c>
      <c r="C201" s="10" t="inlineStr">
        <is>
          <t>Export</t>
        </is>
      </c>
      <c r="D201" s="10" t="inlineStr">
        <is>
          <t>Administrator can export all data</t>
        </is>
      </c>
      <c r="E201" s="11" t="inlineStr">
        <is>
          <t>Functional</t>
        </is>
      </c>
      <c r="F201" s="11" t="inlineStr">
        <is>
          <t>High</t>
        </is>
      </c>
      <c r="G201" s="10" t="inlineStr">
        <is>
          <t>Signed in as Group Admin</t>
        </is>
      </c>
      <c r="H201" s="10" t="inlineStr">
        <is>
          <t>1. Companies &amp; Group
2. Click Export for a company
3. Open the downloaded ZIP</t>
        </is>
      </c>
      <c r="I201" s="10" t="inlineStr">
        <is>
          <t>-</t>
        </is>
      </c>
      <c r="J201" s="10" t="inlineStr">
        <is>
          <t>A ZIP downloads containing one spreadsheet per area plus a README; all files open correctly</t>
        </is>
      </c>
      <c r="K201" s="11" t="inlineStr">
        <is>
          <t>Not Run</t>
        </is>
      </c>
      <c r="L201" s="10" t="inlineStr"/>
      <c r="M201" s="10" t="inlineStr"/>
      <c r="N201" s="10" t="inlineStr"/>
    </row>
    <row r="202">
      <c r="A202" s="8" t="inlineStr">
        <is>
          <t>TC-GEN-009</t>
        </is>
      </c>
      <c r="B202" s="8" t="inlineStr">
        <is>
          <t>General</t>
        </is>
      </c>
      <c r="C202" s="8" t="inlineStr">
        <is>
          <t>Export</t>
        </is>
      </c>
      <c r="D202" s="8" t="inlineStr">
        <is>
          <t>Export all is admin-only</t>
        </is>
      </c>
      <c r="E202" s="9" t="inlineStr">
        <is>
          <t>Negative</t>
        </is>
      </c>
      <c r="F202" s="9" t="inlineStr">
        <is>
          <t>High</t>
        </is>
      </c>
      <c r="G202" s="8" t="inlineStr">
        <is>
          <t>Signed in as a non-administrator</t>
        </is>
      </c>
      <c r="H202" s="8" t="inlineStr">
        <is>
          <t>1. Open Companies &amp; Group</t>
        </is>
      </c>
      <c r="I202" s="8" t="inlineStr">
        <is>
          <t>-</t>
        </is>
      </c>
      <c r="J202" s="8" t="inlineStr">
        <is>
          <t>The Export all data section is not shown</t>
        </is>
      </c>
      <c r="K202" s="9" t="inlineStr">
        <is>
          <t>Not Run</t>
        </is>
      </c>
      <c r="L202" s="8" t="inlineStr"/>
      <c r="M202" s="8" t="inlineStr"/>
      <c r="N202" s="8" t="inlineStr"/>
    </row>
    <row r="203">
      <c r="A203" s="10" t="inlineStr">
        <is>
          <t>TC-GEN-010</t>
        </is>
      </c>
      <c r="B203" s="10" t="inlineStr">
        <is>
          <t>General</t>
        </is>
      </c>
      <c r="C203" s="10" t="inlineStr">
        <is>
          <t>Export</t>
        </is>
      </c>
      <c r="D203" s="10" t="inlineStr">
        <is>
          <t>Exports are recorded in the audit log</t>
        </is>
      </c>
      <c r="E203" s="11" t="inlineStr">
        <is>
          <t>Functional</t>
        </is>
      </c>
      <c r="F203" s="11" t="inlineStr">
        <is>
          <t>Medium</t>
        </is>
      </c>
      <c r="G203" s="10" t="inlineStr">
        <is>
          <t>An export has been taken</t>
        </is>
      </c>
      <c r="H203" s="10" t="inlineStr">
        <is>
          <t>1. Take any export
2. Open the Audit Log</t>
        </is>
      </c>
      <c r="I203" s="10" t="inlineStr">
        <is>
          <t>-</t>
        </is>
      </c>
      <c r="J203" s="10" t="inlineStr">
        <is>
          <t>An entry records who exported what and when</t>
        </is>
      </c>
      <c r="K203" s="11" t="inlineStr">
        <is>
          <t>Not Run</t>
        </is>
      </c>
      <c r="L203" s="10" t="inlineStr"/>
      <c r="M203" s="10" t="inlineStr"/>
      <c r="N203" s="10" t="inlineStr"/>
    </row>
    <row r="204">
      <c r="A204" s="8" t="inlineStr">
        <is>
          <t>TC-GEN-011</t>
        </is>
      </c>
      <c r="B204" s="8" t="inlineStr">
        <is>
          <t>General</t>
        </is>
      </c>
      <c r="C204" s="8" t="inlineStr">
        <is>
          <t>Appearance</t>
        </is>
      </c>
      <c r="D204" s="8" t="inlineStr">
        <is>
          <t>Switch to night mode</t>
        </is>
      </c>
      <c r="E204" s="9" t="inlineStr">
        <is>
          <t>UI</t>
        </is>
      </c>
      <c r="F204" s="9" t="inlineStr">
        <is>
          <t>High</t>
        </is>
      </c>
      <c r="G204" s="8" t="inlineStr">
        <is>
          <t>Signed in</t>
        </is>
      </c>
      <c r="H204" s="8" t="inlineStr">
        <is>
          <t>1. Click the moon icon in the top bar</t>
        </is>
      </c>
      <c r="I204" s="8" t="inlineStr">
        <is>
          <t>-</t>
        </is>
      </c>
      <c r="J204" s="8" t="inlineStr">
        <is>
          <t>The whole app switches to a dark colour scheme; the icon becomes a sun</t>
        </is>
      </c>
      <c r="K204" s="9" t="inlineStr">
        <is>
          <t>Not Run</t>
        </is>
      </c>
      <c r="L204" s="8" t="inlineStr"/>
      <c r="M204" s="8" t="inlineStr"/>
      <c r="N204" s="8" t="inlineStr"/>
    </row>
    <row r="205">
      <c r="A205" s="10" t="inlineStr">
        <is>
          <t>TC-GEN-012</t>
        </is>
      </c>
      <c r="B205" s="10" t="inlineStr">
        <is>
          <t>General</t>
        </is>
      </c>
      <c r="C205" s="10" t="inlineStr">
        <is>
          <t>Appearance</t>
        </is>
      </c>
      <c r="D205" s="10" t="inlineStr">
        <is>
          <t>Switch back to day mode</t>
        </is>
      </c>
      <c r="E205" s="11" t="inlineStr">
        <is>
          <t>UI</t>
        </is>
      </c>
      <c r="F205" s="11" t="inlineStr">
        <is>
          <t>High</t>
        </is>
      </c>
      <c r="G205" s="10" t="inlineStr">
        <is>
          <t>In night mode</t>
        </is>
      </c>
      <c r="H205" s="10" t="inlineStr">
        <is>
          <t>1. Click the sun icon in the top bar</t>
        </is>
      </c>
      <c r="I205" s="10" t="inlineStr">
        <is>
          <t>-</t>
        </is>
      </c>
      <c r="J205" s="10" t="inlineStr">
        <is>
          <t>The app returns to its normal light appearance, exactly as before</t>
        </is>
      </c>
      <c r="K205" s="11" t="inlineStr">
        <is>
          <t>Not Run</t>
        </is>
      </c>
      <c r="L205" s="10" t="inlineStr"/>
      <c r="M205" s="10" t="inlineStr"/>
      <c r="N205" s="10" t="inlineStr"/>
    </row>
    <row r="206">
      <c r="A206" s="8" t="inlineStr">
        <is>
          <t>TC-GEN-013</t>
        </is>
      </c>
      <c r="B206" s="8" t="inlineStr">
        <is>
          <t>General</t>
        </is>
      </c>
      <c r="C206" s="8" t="inlineStr">
        <is>
          <t>Appearance</t>
        </is>
      </c>
      <c r="D206" s="8" t="inlineStr">
        <is>
          <t>Choice is remembered</t>
        </is>
      </c>
      <c r="E206" s="9" t="inlineStr">
        <is>
          <t>UI</t>
        </is>
      </c>
      <c r="F206" s="9" t="inlineStr">
        <is>
          <t>High</t>
        </is>
      </c>
      <c r="G206" s="8" t="inlineStr">
        <is>
          <t>Night mode selected</t>
        </is>
      </c>
      <c r="H206" s="8" t="inlineStr">
        <is>
          <t>1. Select night mode
2. Move between screens
3. Reload the browser</t>
        </is>
      </c>
      <c r="I206" s="8" t="inlineStr">
        <is>
          <t>-</t>
        </is>
      </c>
      <c r="J206" s="8" t="inlineStr">
        <is>
          <t>Night mode stays selected, with no flash of the light theme while the page loads</t>
        </is>
      </c>
      <c r="K206" s="9" t="inlineStr">
        <is>
          <t>Not Run</t>
        </is>
      </c>
      <c r="L206" s="8" t="inlineStr"/>
      <c r="M206" s="8" t="inlineStr"/>
      <c r="N206" s="8" t="inlineStr"/>
    </row>
    <row r="207">
      <c r="A207" s="10" t="inlineStr">
        <is>
          <t>TC-GEN-014</t>
        </is>
      </c>
      <c r="B207" s="10" t="inlineStr">
        <is>
          <t>General</t>
        </is>
      </c>
      <c r="C207" s="10" t="inlineStr">
        <is>
          <t>Appearance</t>
        </is>
      </c>
      <c r="D207" s="10" t="inlineStr">
        <is>
          <t>Follows the device by default</t>
        </is>
      </c>
      <c r="E207" s="11" t="inlineStr">
        <is>
          <t>UI</t>
        </is>
      </c>
      <c r="F207" s="11" t="inlineStr">
        <is>
          <t>Medium</t>
        </is>
      </c>
      <c r="G207" s="10" t="inlineStr">
        <is>
          <t>New user, no choice made</t>
        </is>
      </c>
      <c r="H207" s="10" t="inlineStr">
        <is>
          <t>1. Set the computer or phone to dark appearance
2. Open the ERP</t>
        </is>
      </c>
      <c r="I207" s="10" t="inlineStr">
        <is>
          <t>-</t>
        </is>
      </c>
      <c r="J207" s="10" t="inlineStr">
        <is>
          <t>The app opens in night mode without being told to</t>
        </is>
      </c>
      <c r="K207" s="11" t="inlineStr">
        <is>
          <t>Not Run</t>
        </is>
      </c>
      <c r="L207" s="10" t="inlineStr"/>
      <c r="M207" s="10" t="inlineStr"/>
      <c r="N207" s="10" t="inlineStr"/>
    </row>
    <row r="208">
      <c r="A208" s="8" t="inlineStr">
        <is>
          <t>TC-GEN-015</t>
        </is>
      </c>
      <c r="B208" s="8" t="inlineStr">
        <is>
          <t>General</t>
        </is>
      </c>
      <c r="C208" s="8" t="inlineStr">
        <is>
          <t>Appearance</t>
        </is>
      </c>
      <c r="D208" s="8" t="inlineStr">
        <is>
          <t>Everything stays readable in night mode</t>
        </is>
      </c>
      <c r="E208" s="9" t="inlineStr">
        <is>
          <t>UI</t>
        </is>
      </c>
      <c r="F208" s="9" t="inlineStr">
        <is>
          <t>High</t>
        </is>
      </c>
      <c r="G208" s="8" t="inlineStr">
        <is>
          <t>In night mode</t>
        </is>
      </c>
      <c r="H208" s="8" t="inlineStr">
        <is>
          <t>1. Visit Dashboard, Finance, Employees, Payroll, Approvals, Help</t>
        </is>
      </c>
      <c r="I208" s="8" t="inlineStr">
        <is>
          <t>-</t>
        </is>
      </c>
      <c r="J208" s="8" t="inlineStr">
        <is>
          <t>Text, figures, tables, badges, menus and form fields are all clearly legible; nothing is dark-on-dark</t>
        </is>
      </c>
      <c r="K208" s="9" t="inlineStr">
        <is>
          <t>Not Run</t>
        </is>
      </c>
      <c r="L208" s="8" t="inlineStr"/>
      <c r="M208" s="8" t="inlineStr"/>
      <c r="N208" s="8" t="inlineStr"/>
    </row>
    <row r="209">
      <c r="A209" s="10" t="inlineStr">
        <is>
          <t>TC-GEN-016</t>
        </is>
      </c>
      <c r="B209" s="10" t="inlineStr">
        <is>
          <t>General</t>
        </is>
      </c>
      <c r="C209" s="10" t="inlineStr">
        <is>
          <t>Appearance</t>
        </is>
      </c>
      <c r="D209" s="10" t="inlineStr">
        <is>
          <t>Settlement statement still prints on white</t>
        </is>
      </c>
      <c r="E209" s="11" t="inlineStr">
        <is>
          <t>UI</t>
        </is>
      </c>
      <c r="F209" s="11" t="inlineStr">
        <is>
          <t>Medium</t>
        </is>
      </c>
      <c r="G209" s="10" t="inlineStr">
        <is>
          <t>In night mode</t>
        </is>
      </c>
      <c r="H209" s="10" t="inlineStr">
        <is>
          <t>1. Open a settlement statement
2. Use Print / Save as PDF</t>
        </is>
      </c>
      <c r="I209" s="10" t="inlineStr">
        <is>
          <t>-</t>
        </is>
      </c>
      <c r="J209" s="10" t="inlineStr">
        <is>
          <t>The statement is shown and printed on white paper with dark text, whichever mode the app is in</t>
        </is>
      </c>
      <c r="K209" s="11" t="inlineStr">
        <is>
          <t>Not Run</t>
        </is>
      </c>
      <c r="L209" s="10" t="inlineStr"/>
      <c r="M209" s="10" t="inlineStr"/>
      <c r="N209" s="10" t="inlineStr"/>
    </row>
    <row r="210">
      <c r="A210" s="8" t="inlineStr">
        <is>
          <t>TC-GEN-017</t>
        </is>
      </c>
      <c r="B210" s="8" t="inlineStr">
        <is>
          <t>General</t>
        </is>
      </c>
      <c r="C210" s="8" t="inlineStr">
        <is>
          <t>Mobile</t>
        </is>
      </c>
      <c r="D210" s="8" t="inlineStr">
        <is>
          <t>Menu opens as a drawer on a phone</t>
        </is>
      </c>
      <c r="E210" s="9" t="inlineStr">
        <is>
          <t>UI</t>
        </is>
      </c>
      <c r="F210" s="9" t="inlineStr">
        <is>
          <t>High</t>
        </is>
      </c>
      <c r="G210" s="8" t="inlineStr">
        <is>
          <t>Signed in on a phone</t>
        </is>
      </c>
      <c r="H210" s="8" t="inlineStr">
        <is>
          <t>1. Open the app on a phone (or a 375px-wide window)
2. Tap the menu button at the top-left</t>
        </is>
      </c>
      <c r="I210" s="8" t="inlineStr">
        <is>
          <t>375 x 812</t>
        </is>
      </c>
      <c r="J210" s="8" t="inlineStr">
        <is>
          <t>Sidebar slides in over the page; tapping outside it, the X, or a menu item closes it again</t>
        </is>
      </c>
      <c r="K210" s="9" t="inlineStr">
        <is>
          <t>Not Run</t>
        </is>
      </c>
      <c r="L210" s="8" t="inlineStr"/>
      <c r="M210" s="8" t="inlineStr"/>
      <c r="N210" s="8" t="inlineStr"/>
    </row>
    <row r="211">
      <c r="A211" s="10" t="inlineStr">
        <is>
          <t>TC-GEN-018</t>
        </is>
      </c>
      <c r="B211" s="10" t="inlineStr">
        <is>
          <t>General</t>
        </is>
      </c>
      <c r="C211" s="10" t="inlineStr">
        <is>
          <t>Mobile</t>
        </is>
      </c>
      <c r="D211" s="10" t="inlineStr">
        <is>
          <t>Content uses the full screen width</t>
        </is>
      </c>
      <c r="E211" s="11" t="inlineStr">
        <is>
          <t>UI</t>
        </is>
      </c>
      <c r="F211" s="11" t="inlineStr">
        <is>
          <t>High</t>
        </is>
      </c>
      <c r="G211" s="10" t="inlineStr">
        <is>
          <t>Signed in on a phone</t>
        </is>
      </c>
      <c r="H211" s="10" t="inlineStr">
        <is>
          <t>1. Open the Dashboard on a phone</t>
        </is>
      </c>
      <c r="I211" s="10" t="inlineStr">
        <is>
          <t>375 x 812</t>
        </is>
      </c>
      <c r="J211" s="10" t="inlineStr">
        <is>
          <t>The menu is hidden off-screen and the content fills the width; headings are not broken mid-word</t>
        </is>
      </c>
      <c r="K211" s="11" t="inlineStr">
        <is>
          <t>Not Run</t>
        </is>
      </c>
      <c r="L211" s="10" t="inlineStr"/>
      <c r="M211" s="10" t="inlineStr"/>
      <c r="N211" s="10" t="inlineStr"/>
    </row>
    <row r="212">
      <c r="A212" s="8" t="inlineStr">
        <is>
          <t>TC-GEN-019</t>
        </is>
      </c>
      <c r="B212" s="8" t="inlineStr">
        <is>
          <t>General</t>
        </is>
      </c>
      <c r="C212" s="8" t="inlineStr">
        <is>
          <t>Mobile</t>
        </is>
      </c>
      <c r="D212" s="8" t="inlineStr">
        <is>
          <t>No sideways scrolling of the page</t>
        </is>
      </c>
      <c r="E212" s="9" t="inlineStr">
        <is>
          <t>UI</t>
        </is>
      </c>
      <c r="F212" s="9" t="inlineStr">
        <is>
          <t>High</t>
        </is>
      </c>
      <c r="G212" s="8" t="inlineStr">
        <is>
          <t>Signed in on a phone</t>
        </is>
      </c>
      <c r="H212" s="8" t="inlineStr">
        <is>
          <t>1. Visit Dashboard, Employees, Payroll, Attendance, Certifications</t>
        </is>
      </c>
      <c r="I212" s="8" t="inlineStr">
        <is>
          <t>375 x 812</t>
        </is>
      </c>
      <c r="J212" s="8" t="inlineStr">
        <is>
          <t>The page itself never scrolls sideways; wide tables scroll inside their own box</t>
        </is>
      </c>
      <c r="K212" s="9" t="inlineStr">
        <is>
          <t>Not Run</t>
        </is>
      </c>
      <c r="L212" s="8" t="inlineStr"/>
      <c r="M212" s="8" t="inlineStr"/>
      <c r="N212" s="8" t="inlineStr"/>
    </row>
    <row r="213">
      <c r="A213" s="10" t="inlineStr">
        <is>
          <t>TC-GEN-020</t>
        </is>
      </c>
      <c r="B213" s="10" t="inlineStr">
        <is>
          <t>General</t>
        </is>
      </c>
      <c r="C213" s="10" t="inlineStr">
        <is>
          <t>Mobile</t>
        </is>
      </c>
      <c r="D213" s="10" t="inlineStr">
        <is>
          <t>Tablet layout</t>
        </is>
      </c>
      <c r="E213" s="11" t="inlineStr">
        <is>
          <t>UI</t>
        </is>
      </c>
      <c r="F213" s="11" t="inlineStr">
        <is>
          <t>Medium</t>
        </is>
      </c>
      <c r="G213" s="10" t="inlineStr">
        <is>
          <t>Signed in on a tablet</t>
        </is>
      </c>
      <c r="H213" s="10" t="inlineStr">
        <is>
          <t>1. Open the app on a tablet</t>
        </is>
      </c>
      <c r="I213" s="10" t="inlineStr">
        <is>
          <t>768 x 1024</t>
        </is>
      </c>
      <c r="J213" s="10" t="inlineStr">
        <is>
          <t>Menu is a drawer; screens are comfortably usable</t>
        </is>
      </c>
      <c r="K213" s="11" t="inlineStr">
        <is>
          <t>Not Run</t>
        </is>
      </c>
      <c r="L213" s="10" t="inlineStr"/>
      <c r="M213" s="10" t="inlineStr"/>
      <c r="N213" s="10" t="inlineStr"/>
    </row>
    <row r="214">
      <c r="A214" s="8" t="inlineStr">
        <is>
          <t>TC-GEN-021</t>
        </is>
      </c>
      <c r="B214" s="8" t="inlineStr">
        <is>
          <t>General</t>
        </is>
      </c>
      <c r="C214" s="8" t="inlineStr">
        <is>
          <t>Mobile</t>
        </is>
      </c>
      <c r="D214" s="8" t="inlineStr">
        <is>
          <t>Desktop is unchanged</t>
        </is>
      </c>
      <c r="E214" s="9" t="inlineStr">
        <is>
          <t>UI</t>
        </is>
      </c>
      <c r="F214" s="9" t="inlineStr">
        <is>
          <t>High</t>
        </is>
      </c>
      <c r="G214" s="8" t="inlineStr">
        <is>
          <t>Signed in on a laptop/desktop</t>
        </is>
      </c>
      <c r="H214" s="8" t="inlineStr">
        <is>
          <t>1. Open the app at 1280px or wider
2. Use the collapse arrow on the menu</t>
        </is>
      </c>
      <c r="I214" s="8" t="inlineStr">
        <is>
          <t>1280 x 800</t>
        </is>
      </c>
      <c r="J214" s="8" t="inlineStr">
        <is>
          <t>Menu is permanently visible as before; collapse still shrinks it to icons; no menu button in the top bar</t>
        </is>
      </c>
      <c r="K214" s="9" t="inlineStr">
        <is>
          <t>Not Run</t>
        </is>
      </c>
      <c r="L214" s="8" t="inlineStr"/>
      <c r="M214" s="8" t="inlineStr"/>
      <c r="N214" s="8" t="inlineStr"/>
    </row>
    <row r="215">
      <c r="A215" s="10" t="inlineStr">
        <is>
          <t>TC-GEN-022</t>
        </is>
      </c>
      <c r="B215" s="10" t="inlineStr">
        <is>
          <t>General</t>
        </is>
      </c>
      <c r="C215" s="10" t="inlineStr">
        <is>
          <t>UI</t>
        </is>
      </c>
      <c r="D215" s="10" t="inlineStr">
        <is>
          <t>Responsive on smaller screens</t>
        </is>
      </c>
      <c r="E215" s="11" t="inlineStr">
        <is>
          <t>UI</t>
        </is>
      </c>
      <c r="F215" s="11" t="inlineStr">
        <is>
          <t>Low</t>
        </is>
      </c>
      <c r="G215" s="10" t="inlineStr">
        <is>
          <t>-</t>
        </is>
      </c>
      <c r="H215" s="10" t="inlineStr">
        <is>
          <t>1. Resize the window / mobile</t>
        </is>
      </c>
      <c r="I215" s="10" t="inlineStr">
        <is>
          <t>-</t>
        </is>
      </c>
      <c r="J215" s="10" t="inlineStr">
        <is>
          <t>Layout adapts without horizontal overflow</t>
        </is>
      </c>
      <c r="K215" s="11" t="inlineStr">
        <is>
          <t>Not Run</t>
        </is>
      </c>
      <c r="L215" s="10" t="inlineStr"/>
      <c r="M215" s="10" t="inlineStr"/>
      <c r="N215" s="10" t="inlineStr"/>
    </row>
  </sheetData>
  <autoFilter ref="A1:N215"/>
  <dataValidations count="2">
    <dataValidation sqref="K2:K215" showDropDown="0" showInputMessage="0" showErrorMessage="0" allowBlank="1" type="list">
      <formula1>"Not Run,Pass,Fail,Blocked,N/A"</formula1>
    </dataValidation>
    <dataValidation sqref="F2:F215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2026-09-07T11:18:14Z</dcterms:created>
  <dcterms:modified xsi:type="dcterms:W3CDTF">2026-09-07T11:18:14Z</dcterms:modified>
</cp:coreProperties>
</file>