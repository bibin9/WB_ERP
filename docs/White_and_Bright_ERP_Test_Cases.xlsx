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Cases'!A2:A115)</f>
        <v/>
      </c>
    </row>
    <row r="4">
      <c r="A4" s="2" t="inlineStr">
        <is>
          <t>Pass</t>
        </is>
      </c>
      <c r="B4" s="2">
        <f>COUNTIF('Test Cases'!K2:K115,"Pass")</f>
        <v/>
      </c>
    </row>
    <row r="5">
      <c r="A5" s="2" t="inlineStr">
        <is>
          <t>Fail</t>
        </is>
      </c>
      <c r="B5" s="2">
        <f>COUNTIF('Test Cases'!K2:K115,"Fail")</f>
        <v/>
      </c>
    </row>
    <row r="6">
      <c r="A6" s="2" t="inlineStr">
        <is>
          <t>Blocked</t>
        </is>
      </c>
      <c r="B6" s="2">
        <f>COUNTIF('Test Cases'!K2:K115,"Blocked")</f>
        <v/>
      </c>
    </row>
    <row r="7">
      <c r="A7" s="2" t="inlineStr">
        <is>
          <t>Not Run</t>
        </is>
      </c>
      <c r="B7" s="2">
        <f>COUNTIF('Test Cases'!K2:K115,"Not Run")</f>
        <v/>
      </c>
    </row>
    <row r="8">
      <c r="A8" s="2" t="inlineStr">
        <is>
          <t>N/A</t>
        </is>
      </c>
      <c r="B8" s="2">
        <f>COUNTIF('Test Cases'!K2:K115,"N/A")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TC-GEN-001</t>
        </is>
      </c>
      <c r="B108" s="8" t="inlineStr">
        <is>
          <t>General</t>
        </is>
      </c>
      <c r="C108" s="8" t="inlineStr">
        <is>
          <t>UI</t>
        </is>
      </c>
      <c r="D108" s="8" t="inlineStr">
        <is>
          <t>Sidebar collapse persists</t>
        </is>
      </c>
      <c r="E108" s="9" t="inlineStr">
        <is>
          <t>UI</t>
        </is>
      </c>
      <c r="F108" s="9" t="inlineStr">
        <is>
          <t>Low</t>
        </is>
      </c>
      <c r="G108" s="8" t="inlineStr">
        <is>
          <t>Logged in</t>
        </is>
      </c>
      <c r="H108" s="8" t="inlineStr">
        <is>
          <t>1. Collapse sidebar
2. Reload</t>
        </is>
      </c>
      <c r="I108" s="8" t="inlineStr">
        <is>
          <t>-</t>
        </is>
      </c>
      <c r="J108" s="8" t="inlineStr">
        <is>
          <t>Sidebar stays collapsed (remembered)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TC-GEN-002</t>
        </is>
      </c>
      <c r="B109" s="10" t="inlineStr">
        <is>
          <t>General</t>
        </is>
      </c>
      <c r="C109" s="10" t="inlineStr">
        <is>
          <t>UI</t>
        </is>
      </c>
      <c r="D109" s="10" t="inlineStr">
        <is>
          <t>Login logo not stretched</t>
        </is>
      </c>
      <c r="E109" s="11" t="inlineStr">
        <is>
          <t>UI</t>
        </is>
      </c>
      <c r="F109" s="11" t="inlineStr">
        <is>
          <t>Low</t>
        </is>
      </c>
      <c r="G109" s="10" t="inlineStr">
        <is>
          <t>-</t>
        </is>
      </c>
      <c r="H109" s="10" t="inlineStr">
        <is>
          <t>1. Open login page</t>
        </is>
      </c>
      <c r="I109" s="10" t="inlineStr">
        <is>
          <t>-</t>
        </is>
      </c>
      <c r="J109" s="10" t="inlineStr">
        <is>
          <t>Logo displays at correct aspect ratio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TC-GEN-003</t>
        </is>
      </c>
      <c r="B110" s="8" t="inlineStr">
        <is>
          <t>General</t>
        </is>
      </c>
      <c r="C110" s="8" t="inlineStr">
        <is>
          <t>Mobile</t>
        </is>
      </c>
      <c r="D110" s="8" t="inlineStr">
        <is>
          <t>Menu opens as a drawer on a phone</t>
        </is>
      </c>
      <c r="E110" s="9" t="inlineStr">
        <is>
          <t>UI</t>
        </is>
      </c>
      <c r="F110" s="9" t="inlineStr">
        <is>
          <t>High</t>
        </is>
      </c>
      <c r="G110" s="8" t="inlineStr">
        <is>
          <t>Signed in on a phone</t>
        </is>
      </c>
      <c r="H110" s="8" t="inlineStr">
        <is>
          <t>1. Open the app on a phone (or a 375px-wide window)
2. Tap the menu button at the top-left</t>
        </is>
      </c>
      <c r="I110" s="8" t="inlineStr">
        <is>
          <t>375 x 812</t>
        </is>
      </c>
      <c r="J110" s="8" t="inlineStr">
        <is>
          <t>Sidebar slides in over the page; tapping outside it, the X, or a menu item closes it again</t>
        </is>
      </c>
      <c r="K110" s="9" t="inlineStr">
        <is>
          <t>Not Run</t>
        </is>
      </c>
      <c r="L110" s="8" t="inlineStr"/>
      <c r="M110" s="8" t="inlineStr"/>
      <c r="N110" s="8" t="inlineStr"/>
    </row>
    <row r="111">
      <c r="A111" s="10" t="inlineStr">
        <is>
          <t>TC-GEN-004</t>
        </is>
      </c>
      <c r="B111" s="10" t="inlineStr">
        <is>
          <t>General</t>
        </is>
      </c>
      <c r="C111" s="10" t="inlineStr">
        <is>
          <t>Mobile</t>
        </is>
      </c>
      <c r="D111" s="10" t="inlineStr">
        <is>
          <t>Content uses the full screen width</t>
        </is>
      </c>
      <c r="E111" s="11" t="inlineStr">
        <is>
          <t>UI</t>
        </is>
      </c>
      <c r="F111" s="11" t="inlineStr">
        <is>
          <t>High</t>
        </is>
      </c>
      <c r="G111" s="10" t="inlineStr">
        <is>
          <t>Signed in on a phone</t>
        </is>
      </c>
      <c r="H111" s="10" t="inlineStr">
        <is>
          <t>1. Open the Dashboard on a phone</t>
        </is>
      </c>
      <c r="I111" s="10" t="inlineStr">
        <is>
          <t>375 x 812</t>
        </is>
      </c>
      <c r="J111" s="10" t="inlineStr">
        <is>
          <t>The menu is hidden off-screen and the content fills the width; headings are not broken mid-word</t>
        </is>
      </c>
      <c r="K111" s="11" t="inlineStr">
        <is>
          <t>Not Run</t>
        </is>
      </c>
      <c r="L111" s="10" t="inlineStr"/>
      <c r="M111" s="10" t="inlineStr"/>
      <c r="N111" s="10" t="inlineStr"/>
    </row>
    <row r="112">
      <c r="A112" s="8" t="inlineStr">
        <is>
          <t>TC-GEN-005</t>
        </is>
      </c>
      <c r="B112" s="8" t="inlineStr">
        <is>
          <t>General</t>
        </is>
      </c>
      <c r="C112" s="8" t="inlineStr">
        <is>
          <t>Mobile</t>
        </is>
      </c>
      <c r="D112" s="8" t="inlineStr">
        <is>
          <t>No sideways scrolling of the page</t>
        </is>
      </c>
      <c r="E112" s="9" t="inlineStr">
        <is>
          <t>UI</t>
        </is>
      </c>
      <c r="F112" s="9" t="inlineStr">
        <is>
          <t>High</t>
        </is>
      </c>
      <c r="G112" s="8" t="inlineStr">
        <is>
          <t>Signed in on a phone</t>
        </is>
      </c>
      <c r="H112" s="8" t="inlineStr">
        <is>
          <t>1. Visit Dashboard, Employees, Payroll, Attendance, Certifications</t>
        </is>
      </c>
      <c r="I112" s="8" t="inlineStr">
        <is>
          <t>375 x 812</t>
        </is>
      </c>
      <c r="J112" s="8" t="inlineStr">
        <is>
          <t>The page itself never scrolls sideways; wide tables scroll inside their own box</t>
        </is>
      </c>
      <c r="K112" s="9" t="inlineStr">
        <is>
          <t>Not Run</t>
        </is>
      </c>
      <c r="L112" s="8" t="inlineStr"/>
      <c r="M112" s="8" t="inlineStr"/>
      <c r="N112" s="8" t="inlineStr"/>
    </row>
    <row r="113">
      <c r="A113" s="10" t="inlineStr">
        <is>
          <t>TC-GEN-006</t>
        </is>
      </c>
      <c r="B113" s="10" t="inlineStr">
        <is>
          <t>General</t>
        </is>
      </c>
      <c r="C113" s="10" t="inlineStr">
        <is>
          <t>Mobile</t>
        </is>
      </c>
      <c r="D113" s="10" t="inlineStr">
        <is>
          <t>Tablet layout</t>
        </is>
      </c>
      <c r="E113" s="11" t="inlineStr">
        <is>
          <t>UI</t>
        </is>
      </c>
      <c r="F113" s="11" t="inlineStr">
        <is>
          <t>Medium</t>
        </is>
      </c>
      <c r="G113" s="10" t="inlineStr">
        <is>
          <t>Signed in on a tablet</t>
        </is>
      </c>
      <c r="H113" s="10" t="inlineStr">
        <is>
          <t>1. Open the app on a tablet</t>
        </is>
      </c>
      <c r="I113" s="10" t="inlineStr">
        <is>
          <t>768 x 1024</t>
        </is>
      </c>
      <c r="J113" s="10" t="inlineStr">
        <is>
          <t>Menu is a drawer; screens are comfortably usable</t>
        </is>
      </c>
      <c r="K113" s="11" t="inlineStr">
        <is>
          <t>Not Run</t>
        </is>
      </c>
      <c r="L113" s="10" t="inlineStr"/>
      <c r="M113" s="10" t="inlineStr"/>
      <c r="N113" s="10" t="inlineStr"/>
    </row>
    <row r="114">
      <c r="A114" s="8" t="inlineStr">
        <is>
          <t>TC-GEN-007</t>
        </is>
      </c>
      <c r="B114" s="8" t="inlineStr">
        <is>
          <t>General</t>
        </is>
      </c>
      <c r="C114" s="8" t="inlineStr">
        <is>
          <t>Mobile</t>
        </is>
      </c>
      <c r="D114" s="8" t="inlineStr">
        <is>
          <t>Desktop is unchanged</t>
        </is>
      </c>
      <c r="E114" s="9" t="inlineStr">
        <is>
          <t>UI</t>
        </is>
      </c>
      <c r="F114" s="9" t="inlineStr">
        <is>
          <t>High</t>
        </is>
      </c>
      <c r="G114" s="8" t="inlineStr">
        <is>
          <t>Signed in on a laptop/desktop</t>
        </is>
      </c>
      <c r="H114" s="8" t="inlineStr">
        <is>
          <t>1. Open the app at 1280px or wider
2. Use the collapse arrow on the menu</t>
        </is>
      </c>
      <c r="I114" s="8" t="inlineStr">
        <is>
          <t>1280 x 800</t>
        </is>
      </c>
      <c r="J114" s="8" t="inlineStr">
        <is>
          <t>Menu is permanently visible as before; collapse still shrinks it to icons; no menu button in the top bar</t>
        </is>
      </c>
      <c r="K114" s="9" t="inlineStr">
        <is>
          <t>Not Run</t>
        </is>
      </c>
      <c r="L114" s="8" t="inlineStr"/>
      <c r="M114" s="8" t="inlineStr"/>
      <c r="N114" s="8" t="inlineStr"/>
    </row>
    <row r="115">
      <c r="A115" s="10" t="inlineStr">
        <is>
          <t>TC-GEN-008</t>
        </is>
      </c>
      <c r="B115" s="10" t="inlineStr">
        <is>
          <t>General</t>
        </is>
      </c>
      <c r="C115" s="10" t="inlineStr">
        <is>
          <t>UI</t>
        </is>
      </c>
      <c r="D115" s="10" t="inlineStr">
        <is>
          <t>Responsive on smaller screens</t>
        </is>
      </c>
      <c r="E115" s="11" t="inlineStr">
        <is>
          <t>UI</t>
        </is>
      </c>
      <c r="F115" s="11" t="inlineStr">
        <is>
          <t>Low</t>
        </is>
      </c>
      <c r="G115" s="10" t="inlineStr">
        <is>
          <t>-</t>
        </is>
      </c>
      <c r="H115" s="10" t="inlineStr">
        <is>
          <t>1. Resize the window / mobile</t>
        </is>
      </c>
      <c r="I115" s="10" t="inlineStr">
        <is>
          <t>-</t>
        </is>
      </c>
      <c r="J115" s="10" t="inlineStr">
        <is>
          <t>Layout adapts without horizontal overflow</t>
        </is>
      </c>
      <c r="K115" s="11" t="inlineStr">
        <is>
          <t>Not Run</t>
        </is>
      </c>
      <c r="L115" s="10" t="inlineStr"/>
      <c r="M115" s="10" t="inlineStr"/>
      <c r="N115" s="10" t="inlineStr"/>
    </row>
  </sheetData>
  <autoFilter ref="A1:N115"/>
  <dataValidations count="2">
    <dataValidation sqref="K2:K115" showDropDown="0" showInputMessage="0" showErrorMessage="0" allowBlank="1" type="list">
      <formula1>"Not Run,Pass,Fail,Blocked,N/A"</formula1>
    </dataValidation>
    <dataValidation sqref="F2:F115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2026-09-04T11:00:26Z</dcterms:created>
  <dcterms:modified xsi:type="dcterms:W3CDTF">2026-09-04T11:00:26Z</dcterms:modified>
</cp:coreProperties>
</file>