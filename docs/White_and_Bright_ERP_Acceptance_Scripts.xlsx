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ummary" sheetId="2" state="visible" r:id="rId2"/>
    <sheet name="Administrator" sheetId="3" state="visible" r:id="rId3"/>
    <sheet name="Estimator - Sales" sheetId="4" state="visible" r:id="rId4"/>
    <sheet name="Operations &amp; Directors" sheetId="5" state="visible" r:id="rId5"/>
    <sheet name="Site Engineer" sheetId="6" state="visible" r:id="rId6"/>
    <sheet name="Project Manager" sheetId="7" state="visible" r:id="rId7"/>
    <sheet name="Procurement" sheetId="8" state="visible" r:id="rId8"/>
    <sheet name="Storekeeper" sheetId="9" state="visible" r:id="rId9"/>
    <sheet name="QA-QC &amp; Calibration" sheetId="10" state="visible" r:id="rId10"/>
    <sheet name="Accounts" sheetId="11" state="visible" r:id="rId11"/>
    <sheet name="Finance Controller" sheetId="12" state="visible" r:id="rId12"/>
    <sheet name="HR" sheetId="13" state="visible" r:id="rId13"/>
    <sheet name="Site Timekeeper" sheetId="14" state="visible" r:id="rId14"/>
  </sheets>
  <definedNames>
    <definedName name="_xlnm._FilterDatabase" localSheetId="2" hidden="1">'Administrator'!$A$7:$K$19</definedName>
    <definedName name="_xlnm.Print_Titles" localSheetId="2">'Administrator'!$7:$7</definedName>
    <definedName name="_xlnm._FilterDatabase" localSheetId="3" hidden="1">'Estimator - Sales'!$A$7:$K$20</definedName>
    <definedName name="_xlnm.Print_Titles" localSheetId="3">'Estimator - Sales'!$7:$7</definedName>
    <definedName name="_xlnm._FilterDatabase" localSheetId="4" hidden="1">'Operations &amp; Directors'!$A$7:$K$15</definedName>
    <definedName name="_xlnm.Print_Titles" localSheetId="4">'Operations &amp; Directors'!$7:$7</definedName>
    <definedName name="_xlnm._FilterDatabase" localSheetId="5" hidden="1">'Site Engineer'!$A$7:$K$12</definedName>
    <definedName name="_xlnm.Print_Titles" localSheetId="5">'Site Engineer'!$7:$7</definedName>
    <definedName name="_xlnm._FilterDatabase" localSheetId="6" hidden="1">'Project Manager'!$A$7:$K$10</definedName>
    <definedName name="_xlnm.Print_Titles" localSheetId="6">'Project Manager'!$7:$7</definedName>
    <definedName name="_xlnm._FilterDatabase" localSheetId="7" hidden="1">'Procurement'!$A$7:$K$19</definedName>
    <definedName name="_xlnm.Print_Titles" localSheetId="7">'Procurement'!$7:$7</definedName>
    <definedName name="_xlnm._FilterDatabase" localSheetId="8" hidden="1">'Storekeeper'!$A$7:$K$19</definedName>
    <definedName name="_xlnm.Print_Titles" localSheetId="8">'Storekeeper'!$7:$7</definedName>
    <definedName name="_xlnm._FilterDatabase" localSheetId="9" hidden="1">'QA-QC &amp; Calibration'!$A$7:$K$11</definedName>
    <definedName name="_xlnm.Print_Titles" localSheetId="9">'QA-QC &amp; Calibration'!$7:$7</definedName>
    <definedName name="_xlnm._FilterDatabase" localSheetId="10" hidden="1">'Accounts'!$A$7:$K$16</definedName>
    <definedName name="_xlnm.Print_Titles" localSheetId="10">'Accounts'!$7:$7</definedName>
    <definedName name="_xlnm._FilterDatabase" localSheetId="11" hidden="1">'Finance Controller'!$A$7:$K$14</definedName>
    <definedName name="_xlnm.Print_Titles" localSheetId="11">'Finance Controller'!$7:$7</definedName>
    <definedName name="_xlnm._FilterDatabase" localSheetId="12" hidden="1">'HR'!$A$7:$K$17</definedName>
    <definedName name="_xlnm.Print_Titles" localSheetId="12">'HR'!$7:$7</definedName>
    <definedName name="_xlnm._FilterDatabase" localSheetId="13" hidden="1">'Site Timekeeper'!$A$7:$K$9</definedName>
    <definedName name="_xlnm.Print_Titles" localSheetId="13">'Site Timekeeper'!$7:$7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0">
    <font>
      <name val="Calibri"/>
      <family val="2"/>
      <color theme="1"/>
      <sz val="11"/>
      <scheme val="minor"/>
    </font>
    <font>
      <name val="Arial"/>
      <b val="1"/>
      <color rgb="000B5F6B"/>
      <sz val="20"/>
    </font>
    <font>
      <name val="Arial"/>
      <color rgb="006E7B77"/>
      <sz val="11"/>
    </font>
    <font>
      <name val="Arial"/>
      <b val="1"/>
      <color rgb="006E7B77"/>
      <sz val="9"/>
    </font>
    <font>
      <name val="Arial"/>
      <color rgb="0015201D"/>
      <sz val="10"/>
    </font>
    <font>
      <name val="Arial"/>
      <b val="1"/>
      <color rgb="0015201D"/>
      <sz val="10"/>
    </font>
    <font>
      <name val="Arial"/>
      <b val="1"/>
      <color rgb="001C7747"/>
      <sz val="10"/>
    </font>
    <font>
      <name val="Arial"/>
      <b val="1"/>
      <color rgb="00B3261E"/>
      <sz val="10"/>
    </font>
    <font>
      <name val="Arial"/>
      <b val="1"/>
      <color rgb="00935800"/>
      <sz val="10"/>
    </font>
    <font>
      <name val="Arial"/>
      <b val="1"/>
      <color rgb="006E7B77"/>
      <sz val="10"/>
    </font>
    <font>
      <name val="Arial"/>
      <b val="1"/>
      <color rgb="00FFFFFF"/>
      <sz val="9"/>
    </font>
    <font>
      <name val="Arial"/>
      <i val="1"/>
      <color rgb="0015201D"/>
      <sz val="10"/>
    </font>
    <font>
      <name val="Arial"/>
      <b val="1"/>
      <i val="1"/>
      <color rgb="00B3261E"/>
      <sz val="10"/>
    </font>
    <font>
      <name val="Arial"/>
      <b val="1"/>
      <color rgb="000B5F6B"/>
      <sz val="18"/>
    </font>
    <font>
      <name val="Arial"/>
      <color rgb="006E7B77"/>
      <sz val="10"/>
    </font>
    <font>
      <name val="Arial"/>
      <b val="1"/>
      <color rgb="000B5F6B"/>
      <sz val="10"/>
      <u val="single"/>
    </font>
    <font>
      <name val="Arial"/>
      <b val="1"/>
      <color rgb="000B5F6B"/>
      <sz val="10"/>
    </font>
    <font>
      <name val="Arial"/>
      <i val="1"/>
      <color rgb="006E7B77"/>
      <sz val="9"/>
    </font>
    <font>
      <name val="Arial"/>
      <b val="1"/>
      <color rgb="000B5F6B"/>
      <sz val="16"/>
    </font>
    <font>
      <name val="Arial"/>
      <color rgb="000B5F6B"/>
      <sz val="9"/>
      <u val="single"/>
    </font>
  </fonts>
  <fills count="9">
    <fill>
      <patternFill/>
    </fill>
    <fill>
      <patternFill patternType="gray125"/>
    </fill>
    <fill>
      <patternFill patternType="solid">
        <fgColor rgb="00FFF7CC"/>
        <bgColor rgb="00FFF7CC"/>
      </patternFill>
    </fill>
    <fill>
      <patternFill patternType="solid">
        <fgColor rgb="00E2F2E8"/>
        <bgColor rgb="00E2F2E8"/>
      </patternFill>
    </fill>
    <fill>
      <patternFill patternType="solid">
        <fgColor rgb="00FBE6E3"/>
        <bgColor rgb="00FBE6E3"/>
      </patternFill>
    </fill>
    <fill>
      <patternFill patternType="solid">
        <fgColor rgb="00F9EED8"/>
        <bgColor rgb="00F9EED8"/>
      </patternFill>
    </fill>
    <fill>
      <patternFill patternType="solid">
        <fgColor rgb="00FFFFFF"/>
        <bgColor rgb="00FFFFFF"/>
      </patternFill>
    </fill>
    <fill>
      <patternFill patternType="solid">
        <fgColor rgb="000B5F6B"/>
        <bgColor rgb="000B5F6B"/>
      </patternFill>
    </fill>
    <fill>
      <patternFill patternType="solid">
        <fgColor rgb="00E7ECEA"/>
        <bgColor rgb="00E7ECEA"/>
      </patternFill>
    </fill>
  </fills>
  <borders count="6">
    <border>
      <left/>
      <right/>
      <top/>
      <bottom/>
      <diagonal/>
    </border>
    <border>
      <left style="thin">
        <color rgb="00D2DAD7"/>
      </left>
      <right style="thin">
        <color rgb="00D2DAD7"/>
      </right>
      <top style="thin">
        <color rgb="00D2DAD7"/>
      </top>
      <bottom style="thin">
        <color rgb="00D2DAD7"/>
      </bottom>
    </border>
    <border>
      <left/>
      <right/>
      <top style="thin">
        <color rgb="00D2DAD7"/>
      </top>
      <bottom/>
      <diagonal/>
    </border>
    <border>
      <left/>
      <right style="thin">
        <color rgb="00D2DAD7"/>
      </right>
      <top style="thin">
        <color rgb="00D2DAD7"/>
      </top>
      <bottom/>
      <diagonal/>
    </border>
    <border>
      <left/>
      <right/>
      <top style="thin">
        <color rgb="00D2DAD7"/>
      </top>
      <bottom style="thin">
        <color rgb="00D2DAD7"/>
      </bottom>
      <diagonal/>
    </border>
    <border>
      <left/>
      <right style="thin">
        <color rgb="00D2DAD7"/>
      </right>
      <top style="thin">
        <color rgb="00D2DAD7"/>
      </top>
      <bottom style="thin">
        <color rgb="00D2DAD7"/>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pivotButton="0" quotePrefix="0" xfId="0"/>
    <xf numFmtId="0" fontId="4" fillId="0" borderId="0" pivotButton="0" quotePrefix="0" xfId="0"/>
    <xf numFmtId="0" fontId="6" fillId="3" borderId="1" pivotButton="0" quotePrefix="0" xfId="0"/>
    <xf numFmtId="0" fontId="7" fillId="4" borderId="1" pivotButton="0" quotePrefix="0" xfId="0"/>
    <xf numFmtId="0" fontId="8" fillId="5" borderId="1" pivotButton="0" quotePrefix="0" xfId="0"/>
    <xf numFmtId="0" fontId="9" fillId="6" borderId="1" pivotButton="0" quotePrefix="0" xfId="0"/>
    <xf numFmtId="0" fontId="5" fillId="0" borderId="1" pivotButton="0" quotePrefix="0" xfId="0"/>
    <xf numFmtId="0" fontId="10" fillId="7" borderId="1" pivotButton="0" quotePrefix="0" xfId="0"/>
    <xf numFmtId="0" fontId="0" fillId="0" borderId="4" pivotButton="0" quotePrefix="0" xfId="0"/>
    <xf numFmtId="0" fontId="0" fillId="0" borderId="5" pivotButton="0" quotePrefix="0" xfId="0"/>
    <xf numFmtId="0" fontId="11" fillId="0" borderId="1" applyAlignment="1" pivotButton="0" quotePrefix="0" xfId="0">
      <alignment vertical="top" wrapText="1"/>
    </xf>
    <xf numFmtId="0" fontId="12" fillId="4" borderId="1" applyAlignment="1" pivotButton="0" quotePrefix="0" xfId="0">
      <alignment vertical="top" wrapText="1"/>
    </xf>
    <xf numFmtId="165" fontId="11" fillId="0" borderId="1" applyAlignment="1" pivotButton="0" quotePrefix="0" xfId="0">
      <alignment vertical="top" wrapText="1"/>
    </xf>
    <xf numFmtId="0" fontId="13" fillId="0" borderId="0" pivotButton="0" quotePrefix="0" xfId="0"/>
    <xf numFmtId="0" fontId="14" fillId="0" borderId="0" pivotButton="0" quotePrefix="0" xfId="0"/>
    <xf numFmtId="0" fontId="10"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5" fillId="0" borderId="1" pivotButton="0" quotePrefix="0" xfId="0"/>
    <xf numFmtId="0" fontId="4" fillId="0" borderId="1" pivotButton="0" quotePrefix="0" xfId="0"/>
    <xf numFmtId="0" fontId="4" fillId="0" borderId="1" applyAlignment="1" pivotButton="0" quotePrefix="0" xfId="0">
      <alignment horizontal="center"/>
    </xf>
    <xf numFmtId="9" fontId="4" fillId="0" borderId="1" applyAlignment="1" pivotButton="0" quotePrefix="0" xfId="0">
      <alignment horizontal="center"/>
    </xf>
    <xf numFmtId="0" fontId="5" fillId="8" borderId="1" pivotButton="0" quotePrefix="0" xfId="0"/>
    <xf numFmtId="0" fontId="5" fillId="8" borderId="1" applyAlignment="1" pivotButton="0" quotePrefix="0" xfId="0">
      <alignment horizontal="center"/>
    </xf>
    <xf numFmtId="9" fontId="5" fillId="8" borderId="1" applyAlignment="1" pivotButton="0" quotePrefix="0" xfId="0">
      <alignment horizontal="center"/>
    </xf>
    <xf numFmtId="0" fontId="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4" fillId="0" borderId="0" applyAlignment="1" pivotButton="0" quotePrefix="0" xfId="0">
      <alignment vertical="top" wrapText="1"/>
    </xf>
    <xf numFmtId="0" fontId="0" fillId="2" borderId="1" pivotButton="0" quotePrefix="0" xfId="0"/>
    <xf numFmtId="0" fontId="19" fillId="0" borderId="0" pivotButton="0" quotePrefix="0" xfId="0"/>
    <xf numFmtId="0" fontId="10" fillId="7" borderId="1" applyAlignment="1" pivotButton="0" quotePrefix="0" xfId="0">
      <alignment vertical="center" wrapText="1"/>
    </xf>
    <xf numFmtId="0" fontId="16"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7" fillId="0" borderId="1" applyAlignment="1" pivotButton="0" quotePrefix="0" xfId="0">
      <alignment vertical="top" wrapText="1"/>
    </xf>
    <xf numFmtId="0" fontId="4" fillId="2" borderId="1" applyAlignment="1" pivotButton="0" quotePrefix="0" xfId="0">
      <alignment vertical="top" wrapText="1"/>
    </xf>
    <xf numFmtId="165" fontId="4" fillId="2" borderId="1" applyAlignment="1" pivotButton="0" quotePrefix="0" xfId="0">
      <alignment vertical="top" wrapText="1"/>
    </xf>
  </cellXfs>
  <cellStyles count="1">
    <cellStyle name="Normal" xfId="0" builtinId="0" hidden="0"/>
  </cellStyles>
  <dxfs count="4">
    <dxf>
      <font>
        <name val="Arial"/>
        <b val="1"/>
        <color rgb="00B3261E"/>
      </font>
      <fill>
        <patternFill patternType="solid">
          <fgColor rgb="00FBE6E3"/>
          <bgColor rgb="00FBE6E3"/>
        </patternFill>
      </fill>
    </dxf>
    <dxf>
      <font>
        <name val="Arial"/>
        <b val="1"/>
        <color rgb="00935800"/>
      </font>
      <fill>
        <patternFill patternType="solid">
          <fgColor rgb="00F9EED8"/>
          <bgColor rgb="00F9EED8"/>
        </patternFill>
      </fill>
    </dxf>
    <dxf>
      <font>
        <name val="Arial"/>
        <b val="1"/>
        <color rgb="001C7747"/>
      </font>
      <fill>
        <patternFill patternType="solid">
          <fgColor rgb="00E2F2E8"/>
          <bgColor rgb="00E2F2E8"/>
        </patternFill>
      </fill>
    </dxf>
    <dxf>
      <border>
        <left style="medium">
          <color rgb="00B3261E"/>
        </left>
        <right style="medium">
          <color rgb="00B3261E"/>
        </right>
        <top style="medium">
          <color rgb="00B3261E"/>
        </top>
        <bottom style="medium">
          <color rgb="00B3261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J40"/>
  <sheetViews>
    <sheetView showGridLines="0" workbookViewId="0">
      <selection activeCell="A1" sqref="A1"/>
    </sheetView>
  </sheetViews>
  <sheetFormatPr baseColWidth="8" defaultRowHeight="15"/>
  <cols>
    <col width="2" customWidth="1" min="1" max="1"/>
    <col width="2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2">
      <c r="B2" s="1" t="inlineStr">
        <is>
          <t>WB Group ERP — Acceptance Scripts</t>
        </is>
      </c>
    </row>
    <row r="3">
      <c r="B3" s="2" t="inlineStr">
        <is>
          <t>User acceptance testing in Pre-Prod · September 2026 · 97 checks across 12 roles</t>
        </is>
      </c>
    </row>
    <row r="5">
      <c r="B5" s="3" t="inlineStr">
        <is>
          <t>WHERE AND HOW</t>
        </is>
      </c>
    </row>
    <row r="6" ht="15" customHeight="1">
      <c r="B6" s="4" t="inlineStr">
        <is>
          <t>1.  Open Pre-Prod at wberp-pre-prod.up.railway.app. Never test in the live system.</t>
        </is>
      </c>
    </row>
    <row r="7" ht="30" customHeight="1">
      <c r="B7" s="4" t="inlineStr">
        <is>
          <t>2.  Sign in with the login made for your role, and open that role's sheet (tabs along the bottom). Ask the administrator if you have no login. Do not share a login — every action is recorded against the name that did it.</t>
        </is>
      </c>
    </row>
    <row r="8" ht="30" customHeight="1">
      <c r="B8" s="4" t="inlineStr">
        <is>
          <t>3.  Choose WBE — WB Engineering in the company switcher unless a step says otherwise. Test records are marked: items and stores start with T-, notes say [test data]. Examples: supplier Emirates Cable Trading LLC, customer Deep Port Logistics FZC, item T-CBL-4C16, store T-MAIN.</t>
        </is>
      </c>
    </row>
    <row r="9" ht="15" customHeight="1">
      <c r="B9" s="4" t="inlineStr">
        <is>
          <t>4.  Anything you create, name it with your initials, e.g. "AK test — cable for pump house", so it can be found later.</t>
        </is>
      </c>
    </row>
    <row r="10" ht="30" customHeight="1">
      <c r="B10" s="4" t="inlineStr">
        <is>
          <t>5.  Follow the steps, compare what happens with the Expected result, and fill in the yellow cells. Use the ? button in the top bar of the system if a screen seems strange before marking it failed.</t>
        </is>
      </c>
    </row>
    <row r="11" ht="15" customHeight="1">
      <c r="B11" s="4" t="inlineStr">
        <is>
          <t>6.  Save the workbook with your name in the file name and send it to the project team at the end of each testing day.</t>
        </is>
      </c>
    </row>
    <row r="13">
      <c r="B13" s="3" t="inlineStr">
        <is>
          <t>THE CELLS YOU FILL IN</t>
        </is>
      </c>
    </row>
    <row r="14">
      <c r="B14" s="5" t="inlineStr">
        <is>
          <t>Result</t>
        </is>
      </c>
      <c r="C14" s="6" t="inlineStr">
        <is>
          <t>Choose Pass, Fail, Blocked or Not run from the list. Left empty counts as Not run.</t>
        </is>
      </c>
    </row>
    <row r="15">
      <c r="B15" s="5" t="inlineStr">
        <is>
          <t>Severity</t>
        </is>
      </c>
      <c r="C15" s="6" t="inlineStr">
        <is>
          <t>Only for Fail or Blocked: Critical, Major, Minor or Suggestion.</t>
        </is>
      </c>
    </row>
    <row r="16">
      <c r="B16" s="5" t="inlineStr">
        <is>
          <t>What actually happened</t>
        </is>
      </c>
      <c r="C16" s="6" t="inlineStr">
        <is>
          <t>For a Fail: the screen, the figure and the message word for word. For Blocked: what stopped you.</t>
        </is>
      </c>
    </row>
    <row r="17">
      <c r="B17" s="5" t="inlineStr">
        <is>
          <t>Tested by · Date</t>
        </is>
      </c>
      <c r="C17" s="6" t="inlineStr">
        <is>
          <t>Your name, and the date you ran the check (dd/mm/yyyy).</t>
        </is>
      </c>
    </row>
    <row r="19">
      <c r="B19" s="3" t="inlineStr">
        <is>
          <t>RESULTS</t>
        </is>
      </c>
    </row>
    <row r="20">
      <c r="B20" s="7" t="inlineStr">
        <is>
          <t>Pass</t>
        </is>
      </c>
      <c r="C20" s="6" t="inlineStr">
        <is>
          <t>What happened matches the expected result.</t>
        </is>
      </c>
    </row>
    <row r="21">
      <c r="B21" s="8" t="inlineStr">
        <is>
          <t>Fail</t>
        </is>
      </c>
      <c r="C21" s="6" t="inlineStr">
        <is>
          <t>It did something different, showed an error, or showed a wrong figure.</t>
        </is>
      </c>
    </row>
    <row r="22">
      <c r="B22" s="9" t="inlineStr">
        <is>
          <t>Blocked</t>
        </is>
      </c>
      <c r="C22" s="6" t="inlineStr">
        <is>
          <t>You could not run it — no login, no access, or an earlier check failed.</t>
        </is>
      </c>
    </row>
    <row r="23">
      <c r="B23" s="10" t="inlineStr">
        <is>
          <t>Not run</t>
        </is>
      </c>
      <c r="C23" s="6" t="inlineStr">
        <is>
          <t>Not attempted yet.</t>
        </is>
      </c>
    </row>
    <row r="25">
      <c r="B25" s="3" t="inlineStr">
        <is>
          <t>SEVERITY</t>
        </is>
      </c>
    </row>
    <row r="26">
      <c r="B26" s="11" t="inlineStr">
        <is>
          <t>Critical</t>
        </is>
      </c>
      <c r="C26" s="6" t="inlineStr">
        <is>
          <t>Wrong money, wrong tax, data lost, or someone can see or do what they must not. Stops go-live.</t>
        </is>
      </c>
    </row>
    <row r="27">
      <c r="B27" s="11" t="inlineStr">
        <is>
          <t>Major</t>
        </is>
      </c>
      <c r="C27" s="6" t="inlineStr">
        <is>
          <t>The task cannot be done, or only with a workaround a normal user would not find.</t>
        </is>
      </c>
    </row>
    <row r="28">
      <c r="B28" s="11" t="inlineStr">
        <is>
          <t>Minor</t>
        </is>
      </c>
      <c r="C28" s="6" t="inlineStr">
        <is>
          <t>The task can be done, but something is confusing, slow or badly worded.</t>
        </is>
      </c>
    </row>
    <row r="29">
      <c r="B29" s="11" t="inlineStr">
        <is>
          <t>Suggestion</t>
        </is>
      </c>
      <c r="C29" s="6" t="inlineStr">
        <is>
          <t>Works as designed, but you would like it to work differently.</t>
        </is>
      </c>
    </row>
    <row r="31">
      <c r="B31" s="3" t="inlineStr">
        <is>
          <t>HOW THE ROLES HAND WORK TO EACH OTHER</t>
        </is>
      </c>
    </row>
    <row r="32" ht="45" customHeight="1">
      <c r="B32" s="4" t="inlineStr">
        <is>
          <t>Buying:  Site Engineer raises a material request → Site Engineer, Project Manager and Procurement approve → Procurement asks 3 suppliers and awards → Project Manager, Operations Manager and Director approve the order → Storekeeper receives → QA/QC inspects → Storekeeper issues to the job → Accounts sees the cost on the job.</t>
        </is>
      </c>
    </row>
    <row r="33" ht="30" customHeight="1">
      <c r="B33" s="4" t="inlineStr">
        <is>
          <t>Selling:  Estimator logs the enquiry and prices it → raises the quotation → Operations Manager and Director approve → Estimator emails it → customer orders and the job is created → Accounts invoices.</t>
        </is>
      </c>
    </row>
    <row r="34" ht="15" customHeight="1">
      <c r="B34" s="4" t="inlineStr">
        <is>
          <t>Where a check depends on someone else's, the Depends on column says which.</t>
        </is>
      </c>
    </row>
    <row r="36">
      <c r="B36" s="3" t="inlineStr">
        <is>
          <t>EXAMPLE — HOW A COMPLETED FAILED CHECK LOOKS (THIS ROW IS AN EXAMPLE ONLY)</t>
        </is>
      </c>
    </row>
    <row r="37">
      <c r="B37" s="12" t="inlineStr">
        <is>
          <t>Check</t>
        </is>
      </c>
      <c r="C37" s="12" t="inlineStr">
        <is>
          <t>Result</t>
        </is>
      </c>
      <c r="D37" s="12" t="inlineStr">
        <is>
          <t>Severity</t>
        </is>
      </c>
      <c r="E37" s="12" t="inlineStr">
        <is>
          <t>What actually happened</t>
        </is>
      </c>
      <c r="F37" s="13" t="n"/>
      <c r="G37" s="13" t="n"/>
      <c r="H37" s="14" t="n"/>
      <c r="I37" s="12" t="inlineStr">
        <is>
          <t>Tested by</t>
        </is>
      </c>
      <c r="J37" s="12" t="inlineStr">
        <is>
          <t>Date</t>
        </is>
      </c>
    </row>
    <row r="38" ht="45" customHeight="1">
      <c r="B38" s="15" t="inlineStr">
        <is>
          <t>STR-02</t>
        </is>
      </c>
      <c r="C38" s="16" t="inlineStr">
        <is>
          <t>Fail</t>
        </is>
      </c>
      <c r="D38" s="15" t="inlineStr">
        <is>
          <t>Major</t>
        </is>
      </c>
      <c r="E38" s="15" t="inlineStr">
        <is>
          <t>Delivery into T-MAIN saved without asking for a bin. Stock on Hand shows 20 of T-GLD-M25 in T-MAIN with no bin.</t>
        </is>
      </c>
      <c r="F38" s="13" t="n"/>
      <c r="G38" s="13" t="n"/>
      <c r="H38" s="14" t="n"/>
      <c r="I38" s="15" t="inlineStr">
        <is>
          <t>Ahmed Khan</t>
        </is>
      </c>
      <c r="J38" s="17" t="n">
        <v>46286</v>
      </c>
    </row>
    <row r="40" ht="30" customHeight="1">
      <c r="B40" s="4" t="inlineStr">
        <is>
          <t>Every expected result was checked against the system's own rules and screens before it was written. If the system and this workbook disagree, record a Fail and say so — either one may be wrong, and both matter.</t>
        </is>
      </c>
    </row>
  </sheetData>
  <mergeCells count="24">
    <mergeCell ref="B11:J11"/>
    <mergeCell ref="C15:J15"/>
    <mergeCell ref="C14:J14"/>
    <mergeCell ref="B8:J8"/>
    <mergeCell ref="E37:H37"/>
    <mergeCell ref="C26:J26"/>
    <mergeCell ref="C29:J29"/>
    <mergeCell ref="B34:J34"/>
    <mergeCell ref="B10:J10"/>
    <mergeCell ref="C20:J20"/>
    <mergeCell ref="C16:J16"/>
    <mergeCell ref="B40:J40"/>
    <mergeCell ref="B9:J9"/>
    <mergeCell ref="C22:J22"/>
    <mergeCell ref="B6:J6"/>
    <mergeCell ref="B33:J33"/>
    <mergeCell ref="C21:J21"/>
    <mergeCell ref="B32:J32"/>
    <mergeCell ref="E38:H38"/>
    <mergeCell ref="C27:J27"/>
    <mergeCell ref="C23:J23"/>
    <mergeCell ref="B7:J7"/>
    <mergeCell ref="C17:J17"/>
    <mergeCell ref="C28:J28"/>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B2:M2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30" customWidth="1" min="3" max="3"/>
    <col width="9" customWidth="1" min="4" max="4"/>
    <col width="9" customWidth="1" min="5" max="5"/>
    <col width="9" customWidth="1" min="6" max="6"/>
    <col width="9" customWidth="1" min="7" max="7"/>
    <col width="9" customWidth="1" min="8" max="8"/>
    <col width="11" customWidth="1" min="9" max="9"/>
    <col width="10" customWidth="1" min="10" max="10"/>
    <col width="10" customWidth="1" min="11" max="11"/>
    <col width="10" customWidth="1" min="12" max="12"/>
    <col width="12" customWidth="1" min="13" max="13"/>
  </cols>
  <sheetData>
    <row r="2">
      <c r="B2" s="18" t="inlineStr">
        <is>
          <t>Summary</t>
        </is>
      </c>
    </row>
    <row r="3">
      <c r="B3" s="19" t="inlineStr">
        <is>
          <t>Counts update by themselves as results are chosen on each role's sheet.</t>
        </is>
      </c>
    </row>
    <row r="5" ht="22" customHeight="1">
      <c r="B5" s="20" t="inlineStr">
        <is>
          <t>Role (sheet)</t>
        </is>
      </c>
      <c r="C5" s="20" t="inlineStr">
        <is>
          <t>Sign in as</t>
        </is>
      </c>
      <c r="D5" s="21" t="inlineStr">
        <is>
          <t>Checks</t>
        </is>
      </c>
      <c r="E5" s="21" t="inlineStr">
        <is>
          <t>Pass</t>
        </is>
      </c>
      <c r="F5" s="21" t="inlineStr">
        <is>
          <t>Fail</t>
        </is>
      </c>
      <c r="G5" s="21" t="inlineStr">
        <is>
          <t>Blocked</t>
        </is>
      </c>
      <c r="H5" s="21" t="inlineStr">
        <is>
          <t>Not run</t>
        </is>
      </c>
      <c r="I5" s="21" t="inlineStr">
        <is>
          <t>Done</t>
        </is>
      </c>
      <c r="J5" s="21" t="inlineStr">
        <is>
          <t>Critical</t>
        </is>
      </c>
      <c r="K5" s="21" t="inlineStr">
        <is>
          <t>Major</t>
        </is>
      </c>
      <c r="L5" s="21" t="inlineStr">
        <is>
          <t>Minor</t>
        </is>
      </c>
      <c r="M5" s="21" t="inlineStr">
        <is>
          <t>Suggestion</t>
        </is>
      </c>
    </row>
    <row r="6">
      <c r="B6" s="22" t="inlineStr">
        <is>
          <t>Administrator</t>
        </is>
      </c>
      <c r="C6" s="23" t="inlineStr">
        <is>
          <t>Group Admin</t>
        </is>
      </c>
      <c r="D6" s="24">
        <f>COUNTA('Administrator'!$A$8:$A$300)</f>
        <v/>
      </c>
      <c r="E6" s="24">
        <f>COUNTIF('Administrator'!$G$8:$G$300,"Pass")</f>
        <v/>
      </c>
      <c r="F6" s="24">
        <f>COUNTIF('Administrator'!$G$8:$G$300,"Fail")</f>
        <v/>
      </c>
      <c r="G6" s="24">
        <f>COUNTIF('Administrator'!$G$8:$G$300,"Blocked")</f>
        <v/>
      </c>
      <c r="H6" s="24">
        <f>D6-E6-F6-G6</f>
        <v/>
      </c>
      <c r="I6" s="25">
        <f>IF(D6=0,0,(E6+F6+G6)/D6)</f>
        <v/>
      </c>
      <c r="J6" s="24">
        <f>COUNTIF('Administrator'!$H$8:$H$300,"Critical")</f>
        <v/>
      </c>
      <c r="K6" s="24">
        <f>COUNTIF('Administrator'!$H$8:$H$300,"Major")</f>
        <v/>
      </c>
      <c r="L6" s="24">
        <f>COUNTIF('Administrator'!$H$8:$H$300,"Minor")</f>
        <v/>
      </c>
      <c r="M6" s="24">
        <f>COUNTIF('Administrator'!$H$8:$H$300,"Suggestion")</f>
        <v/>
      </c>
    </row>
    <row r="7">
      <c r="B7" s="22" t="inlineStr">
        <is>
          <t>Estimator - Sales</t>
        </is>
      </c>
      <c r="C7" s="23" t="inlineStr">
        <is>
          <t>Estimation / Sales Engineer</t>
        </is>
      </c>
      <c r="D7" s="24">
        <f>COUNTA('Estimator - Sales'!$A$8:$A$300)</f>
        <v/>
      </c>
      <c r="E7" s="24">
        <f>COUNTIF('Estimator - Sales'!$G$8:$G$300,"Pass")</f>
        <v/>
      </c>
      <c r="F7" s="24">
        <f>COUNTIF('Estimator - Sales'!$G$8:$G$300,"Fail")</f>
        <v/>
      </c>
      <c r="G7" s="24">
        <f>COUNTIF('Estimator - Sales'!$G$8:$G$300,"Blocked")</f>
        <v/>
      </c>
      <c r="H7" s="24">
        <f>D7-E7-F7-G7</f>
        <v/>
      </c>
      <c r="I7" s="25">
        <f>IF(D7=0,0,(E7+F7+G7)/D7)</f>
        <v/>
      </c>
      <c r="J7" s="24">
        <f>COUNTIF('Estimator - Sales'!$H$8:$H$300,"Critical")</f>
        <v/>
      </c>
      <c r="K7" s="24">
        <f>COUNTIF('Estimator - Sales'!$H$8:$H$300,"Major")</f>
        <v/>
      </c>
      <c r="L7" s="24">
        <f>COUNTIF('Estimator - Sales'!$H$8:$H$300,"Minor")</f>
        <v/>
      </c>
      <c r="M7" s="24">
        <f>COUNTIF('Estimator - Sales'!$H$8:$H$300,"Suggestion")</f>
        <v/>
      </c>
    </row>
    <row r="8">
      <c r="B8" s="22" t="inlineStr">
        <is>
          <t>Operations &amp; Directors</t>
        </is>
      </c>
      <c r="C8" s="23" t="inlineStr">
        <is>
          <t>Operations Manager, then Director</t>
        </is>
      </c>
      <c r="D8" s="24">
        <f>COUNTA('Operations &amp; Directors'!$A$8:$A$300)</f>
        <v/>
      </c>
      <c r="E8" s="24">
        <f>COUNTIF('Operations &amp; Directors'!$G$8:$G$300,"Pass")</f>
        <v/>
      </c>
      <c r="F8" s="24">
        <f>COUNTIF('Operations &amp; Directors'!$G$8:$G$300,"Fail")</f>
        <v/>
      </c>
      <c r="G8" s="24">
        <f>COUNTIF('Operations &amp; Directors'!$G$8:$G$300,"Blocked")</f>
        <v/>
      </c>
      <c r="H8" s="24">
        <f>D8-E8-F8-G8</f>
        <v/>
      </c>
      <c r="I8" s="25">
        <f>IF(D8=0,0,(E8+F8+G8)/D8)</f>
        <v/>
      </c>
      <c r="J8" s="24">
        <f>COUNTIF('Operations &amp; Directors'!$H$8:$H$300,"Critical")</f>
        <v/>
      </c>
      <c r="K8" s="24">
        <f>COUNTIF('Operations &amp; Directors'!$H$8:$H$300,"Major")</f>
        <v/>
      </c>
      <c r="L8" s="24">
        <f>COUNTIF('Operations &amp; Directors'!$H$8:$H$300,"Minor")</f>
        <v/>
      </c>
      <c r="M8" s="24">
        <f>COUNTIF('Operations &amp; Directors'!$H$8:$H$300,"Suggestion")</f>
        <v/>
      </c>
    </row>
    <row r="9">
      <c r="B9" s="22" t="inlineStr">
        <is>
          <t>Site Engineer</t>
        </is>
      </c>
      <c r="C9" s="23" t="inlineStr">
        <is>
          <t>Site Engineer / Planner</t>
        </is>
      </c>
      <c r="D9" s="24">
        <f>COUNTA('Site Engineer'!$A$8:$A$300)</f>
        <v/>
      </c>
      <c r="E9" s="24">
        <f>COUNTIF('Site Engineer'!$G$8:$G$300,"Pass")</f>
        <v/>
      </c>
      <c r="F9" s="24">
        <f>COUNTIF('Site Engineer'!$G$8:$G$300,"Fail")</f>
        <v/>
      </c>
      <c r="G9" s="24">
        <f>COUNTIF('Site Engineer'!$G$8:$G$300,"Blocked")</f>
        <v/>
      </c>
      <c r="H9" s="24">
        <f>D9-E9-F9-G9</f>
        <v/>
      </c>
      <c r="I9" s="25">
        <f>IF(D9=0,0,(E9+F9+G9)/D9)</f>
        <v/>
      </c>
      <c r="J9" s="24">
        <f>COUNTIF('Site Engineer'!$H$8:$H$300,"Critical")</f>
        <v/>
      </c>
      <c r="K9" s="24">
        <f>COUNTIF('Site Engineer'!$H$8:$H$300,"Major")</f>
        <v/>
      </c>
      <c r="L9" s="24">
        <f>COUNTIF('Site Engineer'!$H$8:$H$300,"Minor")</f>
        <v/>
      </c>
      <c r="M9" s="24">
        <f>COUNTIF('Site Engineer'!$H$8:$H$300,"Suggestion")</f>
        <v/>
      </c>
    </row>
    <row r="10">
      <c r="B10" s="22" t="inlineStr">
        <is>
          <t>Project Manager</t>
        </is>
      </c>
      <c r="C10" s="23" t="inlineStr">
        <is>
          <t>Project Manager</t>
        </is>
      </c>
      <c r="D10" s="24">
        <f>COUNTA('Project Manager'!$A$8:$A$300)</f>
        <v/>
      </c>
      <c r="E10" s="24">
        <f>COUNTIF('Project Manager'!$G$8:$G$300,"Pass")</f>
        <v/>
      </c>
      <c r="F10" s="24">
        <f>COUNTIF('Project Manager'!$G$8:$G$300,"Fail")</f>
        <v/>
      </c>
      <c r="G10" s="24">
        <f>COUNTIF('Project Manager'!$G$8:$G$300,"Blocked")</f>
        <v/>
      </c>
      <c r="H10" s="24">
        <f>D10-E10-F10-G10</f>
        <v/>
      </c>
      <c r="I10" s="25">
        <f>IF(D10=0,0,(E10+F10+G10)/D10)</f>
        <v/>
      </c>
      <c r="J10" s="24">
        <f>COUNTIF('Project Manager'!$H$8:$H$300,"Critical")</f>
        <v/>
      </c>
      <c r="K10" s="24">
        <f>COUNTIF('Project Manager'!$H$8:$H$300,"Major")</f>
        <v/>
      </c>
      <c r="L10" s="24">
        <f>COUNTIF('Project Manager'!$H$8:$H$300,"Minor")</f>
        <v/>
      </c>
      <c r="M10" s="24">
        <f>COUNTIF('Project Manager'!$H$8:$H$300,"Suggestion")</f>
        <v/>
      </c>
    </row>
    <row r="11">
      <c r="B11" s="22" t="inlineStr">
        <is>
          <t>Procurement</t>
        </is>
      </c>
      <c r="C11" s="23" t="inlineStr">
        <is>
          <t>Procurement Officer</t>
        </is>
      </c>
      <c r="D11" s="24">
        <f>COUNTA('Procurement'!$A$8:$A$300)</f>
        <v/>
      </c>
      <c r="E11" s="24">
        <f>COUNTIF('Procurement'!$G$8:$G$300,"Pass")</f>
        <v/>
      </c>
      <c r="F11" s="24">
        <f>COUNTIF('Procurement'!$G$8:$G$300,"Fail")</f>
        <v/>
      </c>
      <c r="G11" s="24">
        <f>COUNTIF('Procurement'!$G$8:$G$300,"Blocked")</f>
        <v/>
      </c>
      <c r="H11" s="24">
        <f>D11-E11-F11-G11</f>
        <v/>
      </c>
      <c r="I11" s="25">
        <f>IF(D11=0,0,(E11+F11+G11)/D11)</f>
        <v/>
      </c>
      <c r="J11" s="24">
        <f>COUNTIF('Procurement'!$H$8:$H$300,"Critical")</f>
        <v/>
      </c>
      <c r="K11" s="24">
        <f>COUNTIF('Procurement'!$H$8:$H$300,"Major")</f>
        <v/>
      </c>
      <c r="L11" s="24">
        <f>COUNTIF('Procurement'!$H$8:$H$300,"Minor")</f>
        <v/>
      </c>
      <c r="M11" s="24">
        <f>COUNTIF('Procurement'!$H$8:$H$300,"Suggestion")</f>
        <v/>
      </c>
    </row>
    <row r="12">
      <c r="B12" s="22" t="inlineStr">
        <is>
          <t>Storekeeper</t>
        </is>
      </c>
      <c r="C12" s="23" t="inlineStr">
        <is>
          <t>Storekeeper</t>
        </is>
      </c>
      <c r="D12" s="24">
        <f>COUNTA('Storekeeper'!$A$8:$A$300)</f>
        <v/>
      </c>
      <c r="E12" s="24">
        <f>COUNTIF('Storekeeper'!$G$8:$G$300,"Pass")</f>
        <v/>
      </c>
      <c r="F12" s="24">
        <f>COUNTIF('Storekeeper'!$G$8:$G$300,"Fail")</f>
        <v/>
      </c>
      <c r="G12" s="24">
        <f>COUNTIF('Storekeeper'!$G$8:$G$300,"Blocked")</f>
        <v/>
      </c>
      <c r="H12" s="24">
        <f>D12-E12-F12-G12</f>
        <v/>
      </c>
      <c r="I12" s="25">
        <f>IF(D12=0,0,(E12+F12+G12)/D12)</f>
        <v/>
      </c>
      <c r="J12" s="24">
        <f>COUNTIF('Storekeeper'!$H$8:$H$300,"Critical")</f>
        <v/>
      </c>
      <c r="K12" s="24">
        <f>COUNTIF('Storekeeper'!$H$8:$H$300,"Major")</f>
        <v/>
      </c>
      <c r="L12" s="24">
        <f>COUNTIF('Storekeeper'!$H$8:$H$300,"Minor")</f>
        <v/>
      </c>
      <c r="M12" s="24">
        <f>COUNTIF('Storekeeper'!$H$8:$H$300,"Suggestion")</f>
        <v/>
      </c>
    </row>
    <row r="13">
      <c r="B13" s="22" t="inlineStr">
        <is>
          <t>QA-QC &amp; Calibration</t>
        </is>
      </c>
      <c r="C13" s="23" t="inlineStr">
        <is>
          <t>QA/QC &amp; Calibration</t>
        </is>
      </c>
      <c r="D13" s="24">
        <f>COUNTA('QA-QC &amp; Calibration'!$A$8:$A$300)</f>
        <v/>
      </c>
      <c r="E13" s="24">
        <f>COUNTIF('QA-QC &amp; Calibration'!$G$8:$G$300,"Pass")</f>
        <v/>
      </c>
      <c r="F13" s="24">
        <f>COUNTIF('QA-QC &amp; Calibration'!$G$8:$G$300,"Fail")</f>
        <v/>
      </c>
      <c r="G13" s="24">
        <f>COUNTIF('QA-QC &amp; Calibration'!$G$8:$G$300,"Blocked")</f>
        <v/>
      </c>
      <c r="H13" s="24">
        <f>D13-E13-F13-G13</f>
        <v/>
      </c>
      <c r="I13" s="25">
        <f>IF(D13=0,0,(E13+F13+G13)/D13)</f>
        <v/>
      </c>
      <c r="J13" s="24">
        <f>COUNTIF('QA-QC &amp; Calibration'!$H$8:$H$300,"Critical")</f>
        <v/>
      </c>
      <c r="K13" s="24">
        <f>COUNTIF('QA-QC &amp; Calibration'!$H$8:$H$300,"Major")</f>
        <v/>
      </c>
      <c r="L13" s="24">
        <f>COUNTIF('QA-QC &amp; Calibration'!$H$8:$H$300,"Minor")</f>
        <v/>
      </c>
      <c r="M13" s="24">
        <f>COUNTIF('QA-QC &amp; Calibration'!$H$8:$H$300,"Suggestion")</f>
        <v/>
      </c>
    </row>
    <row r="14">
      <c r="B14" s="22" t="inlineStr">
        <is>
          <t>Accounts</t>
        </is>
      </c>
      <c r="C14" s="23" t="inlineStr">
        <is>
          <t>Finance / Accounts</t>
        </is>
      </c>
      <c r="D14" s="24">
        <f>COUNTA('Accounts'!$A$8:$A$300)</f>
        <v/>
      </c>
      <c r="E14" s="24">
        <f>COUNTIF('Accounts'!$G$8:$G$300,"Pass")</f>
        <v/>
      </c>
      <c r="F14" s="24">
        <f>COUNTIF('Accounts'!$G$8:$G$300,"Fail")</f>
        <v/>
      </c>
      <c r="G14" s="24">
        <f>COUNTIF('Accounts'!$G$8:$G$300,"Blocked")</f>
        <v/>
      </c>
      <c r="H14" s="24">
        <f>D14-E14-F14-G14</f>
        <v/>
      </c>
      <c r="I14" s="25">
        <f>IF(D14=0,0,(E14+F14+G14)/D14)</f>
        <v/>
      </c>
      <c r="J14" s="24">
        <f>COUNTIF('Accounts'!$H$8:$H$300,"Critical")</f>
        <v/>
      </c>
      <c r="K14" s="24">
        <f>COUNTIF('Accounts'!$H$8:$H$300,"Major")</f>
        <v/>
      </c>
      <c r="L14" s="24">
        <f>COUNTIF('Accounts'!$H$8:$H$300,"Minor")</f>
        <v/>
      </c>
      <c r="M14" s="24">
        <f>COUNTIF('Accounts'!$H$8:$H$300,"Suggestion")</f>
        <v/>
      </c>
    </row>
    <row r="15">
      <c r="B15" s="22" t="inlineStr">
        <is>
          <t>Finance Controller</t>
        </is>
      </c>
      <c r="C15" s="23" t="inlineStr">
        <is>
          <t>Finance Controller</t>
        </is>
      </c>
      <c r="D15" s="24">
        <f>COUNTA('Finance Controller'!$A$8:$A$300)</f>
        <v/>
      </c>
      <c r="E15" s="24">
        <f>COUNTIF('Finance Controller'!$G$8:$G$300,"Pass")</f>
        <v/>
      </c>
      <c r="F15" s="24">
        <f>COUNTIF('Finance Controller'!$G$8:$G$300,"Fail")</f>
        <v/>
      </c>
      <c r="G15" s="24">
        <f>COUNTIF('Finance Controller'!$G$8:$G$300,"Blocked")</f>
        <v/>
      </c>
      <c r="H15" s="24">
        <f>D15-E15-F15-G15</f>
        <v/>
      </c>
      <c r="I15" s="25">
        <f>IF(D15=0,0,(E15+F15+G15)/D15)</f>
        <v/>
      </c>
      <c r="J15" s="24">
        <f>COUNTIF('Finance Controller'!$H$8:$H$300,"Critical")</f>
        <v/>
      </c>
      <c r="K15" s="24">
        <f>COUNTIF('Finance Controller'!$H$8:$H$300,"Major")</f>
        <v/>
      </c>
      <c r="L15" s="24">
        <f>COUNTIF('Finance Controller'!$H$8:$H$300,"Minor")</f>
        <v/>
      </c>
      <c r="M15" s="24">
        <f>COUNTIF('Finance Controller'!$H$8:$H$300,"Suggestion")</f>
        <v/>
      </c>
    </row>
    <row r="16">
      <c r="B16" s="22" t="inlineStr">
        <is>
          <t>HR</t>
        </is>
      </c>
      <c r="C16" s="23" t="inlineStr">
        <is>
          <t>HR Officer</t>
        </is>
      </c>
      <c r="D16" s="24">
        <f>COUNTA('HR'!$A$8:$A$300)</f>
        <v/>
      </c>
      <c r="E16" s="24">
        <f>COUNTIF('HR'!$G$8:$G$300,"Pass")</f>
        <v/>
      </c>
      <c r="F16" s="24">
        <f>COUNTIF('HR'!$G$8:$G$300,"Fail")</f>
        <v/>
      </c>
      <c r="G16" s="24">
        <f>COUNTIF('HR'!$G$8:$G$300,"Blocked")</f>
        <v/>
      </c>
      <c r="H16" s="24">
        <f>D16-E16-F16-G16</f>
        <v/>
      </c>
      <c r="I16" s="25">
        <f>IF(D16=0,0,(E16+F16+G16)/D16)</f>
        <v/>
      </c>
      <c r="J16" s="24">
        <f>COUNTIF('HR'!$H$8:$H$300,"Critical")</f>
        <v/>
      </c>
      <c r="K16" s="24">
        <f>COUNTIF('HR'!$H$8:$H$300,"Major")</f>
        <v/>
      </c>
      <c r="L16" s="24">
        <f>COUNTIF('HR'!$H$8:$H$300,"Minor")</f>
        <v/>
      </c>
      <c r="M16" s="24">
        <f>COUNTIF('HR'!$H$8:$H$300,"Suggestion")</f>
        <v/>
      </c>
    </row>
    <row r="17">
      <c r="B17" s="22" t="inlineStr">
        <is>
          <t>Site Timekeeper</t>
        </is>
      </c>
      <c r="C17" s="23" t="inlineStr">
        <is>
          <t>Site Timekeeper</t>
        </is>
      </c>
      <c r="D17" s="24">
        <f>COUNTA('Site Timekeeper'!$A$8:$A$300)</f>
        <v/>
      </c>
      <c r="E17" s="24">
        <f>COUNTIF('Site Timekeeper'!$G$8:$G$300,"Pass")</f>
        <v/>
      </c>
      <c r="F17" s="24">
        <f>COUNTIF('Site Timekeeper'!$G$8:$G$300,"Fail")</f>
        <v/>
      </c>
      <c r="G17" s="24">
        <f>COUNTIF('Site Timekeeper'!$G$8:$G$300,"Blocked")</f>
        <v/>
      </c>
      <c r="H17" s="24">
        <f>D17-E17-F17-G17</f>
        <v/>
      </c>
      <c r="I17" s="25">
        <f>IF(D17=0,0,(E17+F17+G17)/D17)</f>
        <v/>
      </c>
      <c r="J17" s="24">
        <f>COUNTIF('Site Timekeeper'!$H$8:$H$300,"Critical")</f>
        <v/>
      </c>
      <c r="K17" s="24">
        <f>COUNTIF('Site Timekeeper'!$H$8:$H$300,"Major")</f>
        <v/>
      </c>
      <c r="L17" s="24">
        <f>COUNTIF('Site Timekeeper'!$H$8:$H$300,"Minor")</f>
        <v/>
      </c>
      <c r="M17" s="24">
        <f>COUNTIF('Site Timekeeper'!$H$8:$H$300,"Suggestion")</f>
        <v/>
      </c>
    </row>
    <row r="18">
      <c r="B18" s="26" t="inlineStr">
        <is>
          <t>All roles</t>
        </is>
      </c>
      <c r="C18" s="26" t="n"/>
      <c r="D18" s="27">
        <f>SUM(D6:D17)</f>
        <v/>
      </c>
      <c r="E18" s="27">
        <f>SUM(E6:E17)</f>
        <v/>
      </c>
      <c r="F18" s="27">
        <f>SUM(F6:F17)</f>
        <v/>
      </c>
      <c r="G18" s="27">
        <f>SUM(G6:G17)</f>
        <v/>
      </c>
      <c r="H18" s="27">
        <f>SUM(H6:H17)</f>
        <v/>
      </c>
      <c r="I18" s="28">
        <f>IF(D18=0,0,(E18+F18+G18)/D18)</f>
        <v/>
      </c>
      <c r="J18" s="27">
        <f>SUM(J6:J17)</f>
        <v/>
      </c>
      <c r="K18" s="27">
        <f>SUM(K6:K17)</f>
        <v/>
      </c>
      <c r="L18" s="27">
        <f>SUM(L6:L17)</f>
        <v/>
      </c>
      <c r="M18" s="27">
        <f>SUM(M6:M17)</f>
        <v/>
      </c>
    </row>
    <row r="20">
      <c r="B20" s="29" t="inlineStr">
        <is>
          <t>Go-live needs every check Pass, and no open Critical or Major.</t>
        </is>
      </c>
    </row>
    <row r="21">
      <c r="B21" s="29" t="inlineStr">
        <is>
          <t>Readiness</t>
        </is>
      </c>
      <c r="C21" s="30">
        <f>IF(AND(E18=D18,J18+K18=0),"Ready for sign-off",IF(J18+K18&gt;0,"Not ready — Critical or Major failures open","In progress — "&amp;TEXT(I18,"0%")&amp;" of checks run"))</f>
        <v/>
      </c>
    </row>
    <row r="22">
      <c r="B22" s="31" t="inlineStr">
        <is>
          <t>Severity counts include Blocked checks that were given a severity.</t>
        </is>
      </c>
    </row>
  </sheetData>
  <conditionalFormatting sqref="F6:F18">
    <cfRule type="expression" priority="1" dxfId="0">
      <formula>F6&gt;0</formula>
    </cfRule>
  </conditionalFormatting>
  <conditionalFormatting sqref="G6:G18">
    <cfRule type="expression" priority="2" dxfId="1">
      <formula>G6&gt;0</formula>
    </cfRule>
  </conditionalFormatting>
  <conditionalFormatting sqref="J6:K18">
    <cfRule type="expression" priority="3" dxfId="0">
      <formula>J6&gt;0</formula>
    </cfRule>
  </conditionalFormatting>
  <hyperlinks>
    <hyperlink ref="B6" location="'Administrator'!A1" display="Administrator"/>
    <hyperlink ref="B7" location="'Estimator - Sales'!A1" display="Estimator - Sales"/>
    <hyperlink ref="B8" location="'Operations &amp; Directors'!A1" display="Operations &amp; Directors"/>
    <hyperlink ref="B9" location="'Site Engineer'!A1" display="Site Engineer"/>
    <hyperlink ref="B10" location="'Project Manager'!A1" display="Project Manager"/>
    <hyperlink ref="B11" location="'Procurement'!A1" display="Procurement"/>
    <hyperlink ref="B12" location="'Storekeeper'!A1" display="Storekeeper"/>
    <hyperlink ref="B13" location="'QA-QC &amp; Calibration'!A1" display="QA-QC &amp; Calibration"/>
    <hyperlink ref="B14" location="'Accounts'!A1" display="Accounts"/>
    <hyperlink ref="B15" location="'Finance Controller'!A1" display="Finance Controller"/>
    <hyperlink ref="B16" location="'HR'!A1" display="HR"/>
    <hyperlink ref="B17" location="'Site Timekeeper'!A1" display="Site Timekeeper"/>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19"/>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Administrator</t>
        </is>
      </c>
    </row>
    <row r="2">
      <c r="A2" s="29" t="inlineStr">
        <is>
          <t>Sign in as:</t>
        </is>
      </c>
      <c r="C2" s="30" t="inlineStr">
        <is>
          <t>Group Admin</t>
        </is>
      </c>
    </row>
    <row r="3" ht="30" customHeight="1">
      <c r="A3" s="33" t="inlineStr">
        <is>
          <t>Sets up the companies, the letterhead on printed documents, email, users and who may approve what. Run these first: several other roles depend on them.</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87" customHeight="1">
      <c r="A8" s="37" t="inlineStr">
        <is>
          <t>ADM-01</t>
        </is>
      </c>
      <c r="B8" s="38" t="inlineStr">
        <is>
          <t>Finance &amp; HR</t>
        </is>
      </c>
      <c r="C8" s="39" t="inlineStr">
        <is>
          <t>Complete a company's legal details</t>
        </is>
      </c>
      <c r="D8" s="38" t="inlineStr">
        <is>
          <t>1. Open Companies and edit WBE.
2. Enter the VAT registration number (TRN) with spaces, as printed on the certificate.
3. Enter the address line and city, and choose the emirate.
4. Save, then open the record again.</t>
        </is>
      </c>
      <c r="E8" s="38" t="inlineStr">
        <is>
          <t>The details are kept. The TRN is stored without the spaces. The emirate is chosen from the seven, not typed.</t>
        </is>
      </c>
      <c r="F8" s="40" t="inlineStr"/>
      <c r="G8" s="41" t="n"/>
      <c r="H8" s="41" t="n"/>
      <c r="I8" s="41" t="n"/>
      <c r="J8" s="41" t="n"/>
      <c r="K8" s="42" t="n"/>
    </row>
    <row r="9" ht="127.5" customHeight="1">
      <c r="A9" s="37" t="inlineStr">
        <is>
          <t>ADM-02</t>
        </is>
      </c>
      <c r="B9" s="38" t="inlineStr">
        <is>
          <t>CRM, Inventory &amp; documents</t>
        </is>
      </c>
      <c r="C9" s="39" t="inlineStr">
        <is>
          <t>Set the letterhead for printed documents</t>
        </is>
      </c>
      <c r="D9" s="38" t="inlineStr">
        <is>
          <t>1. Open Settings → Printed Documents and choose WBE at the top.
2. Set the accent colour, phone, email and website, and a footer line such as the trade licence number.
3. Paste standard terms into Quotation terms, Purchase order terms and Enquiry (RFQ) terms.
4. Save.
5. Click Print next to “See it on paper”.</t>
        </is>
      </c>
      <c r="E9" s="38" t="inlineStr">
        <is>
          <t>A PDF opens with SAMPLE across the page, your contact details under the company name, the TRN, the accent colour on the title and rules, your quotation terms, the footer line at the bottom and “Page 1 of 1”.</t>
        </is>
      </c>
      <c r="F9" s="40" t="inlineStr"/>
      <c r="G9" s="41" t="n"/>
      <c r="H9" s="41" t="n"/>
      <c r="I9" s="41" t="n"/>
      <c r="J9" s="41" t="n"/>
      <c r="K9" s="42" t="n"/>
    </row>
    <row r="10" ht="73.5" customHeight="1">
      <c r="A10" s="37" t="inlineStr">
        <is>
          <t>ADM-03</t>
        </is>
      </c>
      <c r="B10" s="38" t="inlineStr">
        <is>
          <t>CRM, Inventory &amp; documents</t>
        </is>
      </c>
      <c r="C10" s="39" t="inlineStr">
        <is>
          <t>Use the company's own letterhead artwork</t>
        </is>
      </c>
      <c r="D10" s="38" t="inlineStr">
        <is>
          <t>1. On Settings → Printed Documents, choose a PNG or JPEG of the letterhead band as Header artwork.
2. Save and print the sample again.
3. Now try choosing an SVG, GIF or PDF file as the artwork.</t>
        </is>
      </c>
      <c r="E10" s="38" t="inlineStr">
        <is>
          <t>The sample shows the artwork across the top instead of the name and logo. The SVG, GIF or PDF is refused with a message asking for a PNG or JPEG.</t>
        </is>
      </c>
      <c r="F10" s="40" t="inlineStr"/>
      <c r="G10" s="41" t="n"/>
      <c r="H10" s="41" t="n"/>
      <c r="I10" s="41" t="n"/>
      <c r="J10" s="41" t="n"/>
      <c r="K10" s="42" t="n"/>
    </row>
    <row r="11" ht="46.5" customHeight="1">
      <c r="A11" s="37" t="inlineStr">
        <is>
          <t>ADM-04</t>
        </is>
      </c>
      <c r="B11" s="38" t="inlineStr">
        <is>
          <t>CRM, Inventory &amp; documents</t>
        </is>
      </c>
      <c r="C11" s="39" t="inlineStr">
        <is>
          <t>Warnings for missing company details</t>
        </is>
      </c>
      <c r="D11" s="38" t="inlineStr">
        <is>
          <t>1. On Settings → Printed Documents, switch to a company with no TRN or no address recorded.</t>
        </is>
      </c>
      <c r="E11" s="38" t="inlineStr">
        <is>
          <t>A yellow warning says what is missing and links to Companies. Documents for that company still print, with the name only.</t>
        </is>
      </c>
      <c r="F11" s="40" t="inlineStr"/>
      <c r="G11" s="41" t="n"/>
      <c r="H11" s="41" t="n"/>
      <c r="I11" s="41" t="n"/>
      <c r="J11" s="41" t="n"/>
      <c r="K11" s="42" t="n"/>
    </row>
    <row r="12" ht="60" customHeight="1">
      <c r="A12" s="37" t="inlineStr">
        <is>
          <t>ADM-05</t>
        </is>
      </c>
      <c r="B12" s="38" t="inlineStr">
        <is>
          <t>CRM, Inventory &amp; documents</t>
        </is>
      </c>
      <c r="C12" s="39" t="inlineStr">
        <is>
          <t>Connect the mail server</t>
        </is>
      </c>
      <c r="D12" s="38" t="inlineStr">
        <is>
          <t>1. Open Settings → Email and choose the provider.
2. Enter the mailbox, its password or app password, and the send-as name and address.
3. Save, then Send a test to your own address.</t>
        </is>
      </c>
      <c r="E12" s="38" t="inlineStr">
        <is>
          <t>The test email arrives. If it does not, the screen shows the mail server's own message, which can be given to IT. The password is not shown again after saving.</t>
        </is>
      </c>
      <c r="F12" s="40" t="inlineStr">
        <is>
          <t>Needs a real mailbox from IT. Mark Blocked if there is none yet.</t>
        </is>
      </c>
      <c r="G12" s="41" t="n"/>
      <c r="H12" s="41" t="n"/>
      <c r="I12" s="41" t="n"/>
      <c r="J12" s="41" t="n"/>
      <c r="K12" s="42" t="n"/>
    </row>
    <row r="13" ht="73.5" customHeight="1">
      <c r="A13" s="37" t="inlineStr">
        <is>
          <t>ADM-06</t>
        </is>
      </c>
      <c r="B13" s="38" t="inlineStr">
        <is>
          <t>Finance &amp; HR</t>
        </is>
      </c>
      <c r="C13" s="39" t="inlineStr">
        <is>
          <t>Create a login for each tester</t>
        </is>
      </c>
      <c r="D13" s="38" t="inlineStr">
        <is>
          <t>1. Open Users and add a user for each role on this page, giving each the role and the companies they work in.
2. Note the temporary password shown.
3. Sign in as one of them in a private window.</t>
        </is>
      </c>
      <c r="E13" s="38" t="inlineStr">
        <is>
          <t>The temporary password is shown once. The new user must set their own password before they can go any further.</t>
        </is>
      </c>
      <c r="F13" s="40" t="inlineStr"/>
      <c r="G13" s="41" t="n"/>
      <c r="H13" s="41" t="n"/>
      <c r="I13" s="41" t="n"/>
      <c r="J13" s="41" t="n"/>
      <c r="K13" s="42" t="n"/>
    </row>
    <row r="14" ht="46.5" customHeight="1">
      <c r="A14" s="37" t="inlineStr">
        <is>
          <t>ADM-07</t>
        </is>
      </c>
      <c r="B14" s="38" t="inlineStr">
        <is>
          <t>Finance &amp; HR</t>
        </is>
      </c>
      <c r="C14" s="39" t="inlineStr">
        <is>
          <t>Access follows the role</t>
        </is>
      </c>
      <c r="D14" s="38" t="inlineStr">
        <is>
          <t>1. Sign in as the Storekeeper.
2. Look at the menu, then type /finance at the end of the address and press Enter.</t>
        </is>
      </c>
      <c r="E14" s="38" t="inlineStr">
        <is>
          <t>Finance is not in the menu. Typing the address returns you to the dashboard without showing any of the Finance screen.</t>
        </is>
      </c>
      <c r="F14" s="40" t="inlineStr"/>
      <c r="G14" s="41" t="n"/>
      <c r="H14" s="41" t="n"/>
      <c r="I14" s="41" t="n"/>
      <c r="J14" s="41" t="n"/>
      <c r="K14" s="42" t="n"/>
    </row>
    <row r="15" ht="60" customHeight="1">
      <c r="A15" s="37" t="inlineStr">
        <is>
          <t>ADM-08</t>
        </is>
      </c>
      <c r="B15" s="38" t="inlineStr">
        <is>
          <t>CRM, Inventory &amp; documents</t>
        </is>
      </c>
      <c r="C15" s="39" t="inlineStr">
        <is>
          <t>Changing a role's access survives the next release</t>
        </is>
      </c>
      <c r="D15" s="38" t="inlineStr">
        <is>
          <t>1. Open Access Control and remove one screen from the Storekeeper role, e.g. Returns from Site.
2. Ask the project team to note it, and re-check after the next update is deployed to Pre-Prod.</t>
        </is>
      </c>
      <c r="E15" s="38" t="inlineStr">
        <is>
          <t>After the update the Storekeeper still does not have that screen. Changes made here are never reset by a new release.</t>
        </is>
      </c>
      <c r="F15" s="40" t="inlineStr">
        <is>
          <t>Needs a deployment between the two halves. Leave as Not run until then.</t>
        </is>
      </c>
      <c r="G15" s="41" t="n"/>
      <c r="H15" s="41" t="n"/>
      <c r="I15" s="41" t="n"/>
      <c r="J15" s="41" t="n"/>
      <c r="K15" s="42" t="n"/>
    </row>
    <row r="16" ht="87" customHeight="1">
      <c r="A16" s="37" t="inlineStr">
        <is>
          <t>ADM-09</t>
        </is>
      </c>
      <c r="B16" s="38" t="inlineStr">
        <is>
          <t>CRM, Inventory &amp; documents</t>
        </is>
      </c>
      <c r="C16" s="39" t="inlineStr">
        <is>
          <t>Approval routes are as agreed</t>
        </is>
      </c>
      <c r="D16" s="38" t="inlineStr">
        <is>
          <t>1. Open Approvals → Configure routes.</t>
        </is>
      </c>
      <c r="E16" s="38" t="inlineStr">
        <is>
          <t>Material Request: Site Engineer / Planner → Project Manager → Procurement Officer. Purchase Order: Project Manager → Operations Manager → Director, plus Managing Director from AED 50,000. Sales Quotation: Operations Manager → Director, plus Managing Director from AED 500,000.</t>
        </is>
      </c>
      <c r="F16" s="40" t="inlineStr"/>
      <c r="G16" s="41" t="n"/>
      <c r="H16" s="41" t="n"/>
      <c r="I16" s="41" t="n"/>
      <c r="J16" s="41" t="n"/>
      <c r="K16" s="42" t="n"/>
    </row>
    <row r="17" ht="60" customHeight="1">
      <c r="A17" s="37" t="inlineStr">
        <is>
          <t>ADM-10</t>
        </is>
      </c>
      <c r="B17" s="38" t="inlineStr">
        <is>
          <t>Finance &amp; HR</t>
        </is>
      </c>
      <c r="C17" s="39" t="inlineStr">
        <is>
          <t>The audit trail shows who changed what</t>
        </is>
      </c>
      <c r="D17" s="38" t="inlineStr">
        <is>
          <t>1. Open Audit Log and search for “Printed document settings”.
2. Search for your own name.</t>
        </is>
      </c>
      <c r="E17" s="38" t="inlineStr">
        <is>
          <t>Your change is listed with the time and your name. The artwork itself is not dumped into the log. Nothing in the log can be edited or deleted.</t>
        </is>
      </c>
      <c r="F17" s="40" t="inlineStr"/>
      <c r="G17" s="41" t="n"/>
      <c r="H17" s="41" t="n"/>
      <c r="I17" s="41" t="n"/>
      <c r="J17" s="41" t="n"/>
      <c r="K17" s="42" t="n"/>
    </row>
    <row r="18" ht="114" customHeight="1">
      <c r="A18" s="37" t="inlineStr">
        <is>
          <t>ADM-11</t>
        </is>
      </c>
      <c r="B18" s="38" t="inlineStr">
        <is>
          <t>Finance &amp; HR</t>
        </is>
      </c>
      <c r="C18" s="39" t="inlineStr">
        <is>
          <t>Give someone a second company</t>
        </is>
      </c>
      <c r="D18" s="38" t="inlineStr">
        <is>
          <t>1. Open Users &amp; Roles and click the pencil next to the HR tester.
2. Tick a second company, e.g. WBTS, and click Save changes.
3. Sign in as the HR tester and open HR &amp; Admin → People.
4. Back as administrator, untick every company on the same user and save.</t>
        </is>
      </c>
      <c r="E18" s="38" t="inlineStr">
        <is>
          <t>The user's line shows both companies. The HR tester's Company filter now offers All my companies, WBE and WBTS. With every company unticked the form refuses: “Leave at least one company ticked”. The Audit Log says which company was added.</t>
        </is>
      </c>
      <c r="F18" s="40" t="inlineStr">
        <is>
          <t>Put the tester back to WBE only afterwards if other checks expect it.</t>
        </is>
      </c>
      <c r="G18" s="41" t="n"/>
      <c r="H18" s="41" t="n"/>
      <c r="I18" s="41" t="n"/>
      <c r="J18" s="41" t="n"/>
      <c r="K18" s="42" t="n"/>
    </row>
    <row r="19" ht="60" customHeight="1">
      <c r="A19" s="37" t="inlineStr">
        <is>
          <t>ADM-12</t>
        </is>
      </c>
      <c r="B19" s="38" t="inlineStr">
        <is>
          <t>CRM, Inventory &amp; documents</t>
        </is>
      </c>
      <c r="C19" s="39" t="inlineStr">
        <is>
          <t>The company is always shown</t>
        </is>
      </c>
      <c r="D19" s="38" t="inlineStr">
        <is>
          <t>1. Sign in as any tester who belongs to one company only.
2. Open HR &amp; Admin → People, then any dashboard.</t>
        </is>
      </c>
      <c r="E19" s="38" t="inlineStr">
        <is>
          <t>Beside the list is the company name, e.g. “Company: WBE — WB Engineering”. It cannot be changed — there is nothing else to choose — but the screen says whose records these are.</t>
        </is>
      </c>
      <c r="F19" s="40" t="inlineStr"/>
      <c r="G19" s="41" t="n"/>
      <c r="H19" s="41" t="n"/>
      <c r="I19" s="41" t="n"/>
      <c r="J19" s="41" t="n"/>
      <c r="K19" s="42" t="n"/>
    </row>
  </sheetData>
  <autoFilter ref="A7:K19"/>
  <mergeCells count="2">
    <mergeCell ref="A3:F3"/>
    <mergeCell ref="C4:D4"/>
  </mergeCells>
  <conditionalFormatting sqref="G8:G19">
    <cfRule type="expression" priority="1" dxfId="2">
      <formula>$G8="Pass"</formula>
    </cfRule>
    <cfRule type="expression" priority="2" dxfId="0">
      <formula>$G8="Fail"</formula>
    </cfRule>
    <cfRule type="expression" priority="3" dxfId="1">
      <formula>$G8="Blocked"</formula>
    </cfRule>
  </conditionalFormatting>
  <conditionalFormatting sqref="H8:I19">
    <cfRule type="expression" priority="4" dxfId="3">
      <formula>AND(OR($G8="Fail",$G8="Blocked"),H8="")</formula>
    </cfRule>
  </conditionalFormatting>
  <dataValidations count="3">
    <dataValidation sqref="G8:G19" showDropDown="0" showInputMessage="0" showErrorMessage="1" allowBlank="1" errorTitle="Result" error="Choose Pass, Fail, Blocked or Not run." type="list">
      <formula1>"Pass,Fail,Blocked,Not run"</formula1>
    </dataValidation>
    <dataValidation sqref="H8:H19" showDropDown="0" showInputMessage="0" showErrorMessage="1" allowBlank="1" errorTitle="Severity" error="Choose Critical, Major, Minor or Suggestion." type="list">
      <formula1>"Critical,Major,Minor,Suggestion"</formula1>
    </dataValidation>
    <dataValidation sqref="K8:K19"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Administrator&amp;RPage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0"/>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Estimator / Sales</t>
        </is>
      </c>
    </row>
    <row r="2">
      <c r="A2" s="29" t="inlineStr">
        <is>
          <t>Sign in as:</t>
        </is>
      </c>
      <c r="C2" s="30" t="inlineStr">
        <is>
          <t>Estimation / Sales Engineer</t>
        </is>
      </c>
    </row>
    <row r="3" ht="30" customHeight="1">
      <c r="A3" s="33" t="inlineStr">
        <is>
          <t>Takes an enquiry from first call to a priced, approved quotation, and records what the customer ordered.</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87" customHeight="1">
      <c r="A8" s="37" t="inlineStr">
        <is>
          <t>EST-01</t>
        </is>
      </c>
      <c r="B8" s="38" t="inlineStr">
        <is>
          <t>CRM, Inventory &amp; documents</t>
        </is>
      </c>
      <c r="C8" s="39" t="inlineStr">
        <is>
          <t>Log a new enquiry</t>
        </is>
      </c>
      <c r="D8" s="38" t="inlineStr">
        <is>
          <t>1. Open CRM &amp; Estimation → Pipeline and click Log an enquiry.
2. Enter a title, choose the customer Deep Port Logistics FZC, the estimated value and where it came from.
3. Save.</t>
        </is>
      </c>
      <c r="E8" s="38" t="inlineStr">
        <is>
          <t>The card appears in the first column. The column's weighted total goes up by less than the full value, because a new enquiry is unlikely to be won yet.</t>
        </is>
      </c>
      <c r="F8" s="40" t="inlineStr"/>
      <c r="G8" s="41" t="n"/>
      <c r="H8" s="41" t="n"/>
      <c r="I8" s="41" t="n"/>
      <c r="J8" s="41" t="n"/>
      <c r="K8" s="42" t="n"/>
    </row>
    <row r="9" ht="60" customHeight="1">
      <c r="A9" s="37" t="inlineStr">
        <is>
          <t>EST-02</t>
        </is>
      </c>
      <c r="B9" s="38" t="inlineStr">
        <is>
          <t>CRM, Inventory &amp; documents</t>
        </is>
      </c>
      <c r="C9" s="39" t="inlineStr">
        <is>
          <t>Move an enquiry on</t>
        </is>
      </c>
      <c r="D9" s="38" t="inlineStr">
        <is>
          <t>1. Open your enquiry and click Move it on.
2. Choose the next stage and read the dialog before confirming.</t>
        </is>
      </c>
      <c r="E9" s="38" t="inlineStr">
        <is>
          <t>Before you confirm, the dialog shows what the move does to the chance of winning. After it, the card is in the new column and the tracker bar has moved.</t>
        </is>
      </c>
      <c r="F9" s="40" t="inlineStr"/>
      <c r="G9" s="41" t="n"/>
      <c r="H9" s="41" t="n"/>
      <c r="I9" s="41" t="n"/>
      <c r="J9" s="41" t="n"/>
      <c r="K9" s="42" t="n"/>
    </row>
    <row r="10" ht="73.5" customHeight="1">
      <c r="A10" s="37" t="inlineStr">
        <is>
          <t>EST-03</t>
        </is>
      </c>
      <c r="B10" s="38" t="inlineStr">
        <is>
          <t>CRM, Inventory &amp; documents</t>
        </is>
      </c>
      <c r="C10" s="39" t="inlineStr">
        <is>
          <t>Book a site visit, then file the report</t>
        </is>
      </c>
      <c r="D10" s="38" t="inlineStr">
        <is>
          <t>1. On the enquiry click Record beside Site visits. Enter the date and who is going; leave findings empty. Save.
2. Click File the report and save it empty.
3. File it again with what was found.</t>
        </is>
      </c>
      <c r="E10" s="38" t="inlineStr">
        <is>
          <t>After booking, the visit shows as booked and the report as still to come. The empty report is refused. With findings, the enquiry shows Site Report Submitted.</t>
        </is>
      </c>
      <c r="F10" s="40" t="inlineStr"/>
      <c r="G10" s="41" t="n"/>
      <c r="H10" s="41" t="n"/>
      <c r="I10" s="41" t="n"/>
      <c r="J10" s="41" t="n"/>
      <c r="K10" s="42" t="n"/>
    </row>
    <row r="11" ht="73.5" customHeight="1">
      <c r="A11" s="37" t="inlineStr">
        <is>
          <t>EST-04</t>
        </is>
      </c>
      <c r="B11" s="38" t="inlineStr">
        <is>
          <t>CRM, Inventory &amp; documents</t>
        </is>
      </c>
      <c r="C11" s="39" t="inlineStr">
        <is>
          <t>Build up an estimate</t>
        </is>
      </c>
      <c r="D11" s="38" t="inlineStr">
        <is>
          <t>1. Open Estimates and click Start an estimate for your enquiry. Set overhead and margin.
2. Add a line measured in metres: material cost, labour hours and rate, plant hours and rate.
3. Add a lump-sum line.</t>
        </is>
      </c>
      <c r="E11" s="38" t="inlineStr">
        <is>
          <t>The unit cost adds itself up as you type. The lump-sum line does not ask for a quantity. There is no box to type the selling price.</t>
        </is>
      </c>
      <c r="F11" s="40" t="inlineStr"/>
      <c r="G11" s="41" t="n"/>
      <c r="H11" s="41" t="n"/>
      <c r="I11" s="41" t="n"/>
      <c r="J11" s="41" t="n"/>
      <c r="K11" s="42" t="n"/>
    </row>
    <row r="12" ht="46.5" customHeight="1">
      <c r="A12" s="37" t="inlineStr">
        <is>
          <t>EST-05</t>
        </is>
      </c>
      <c r="B12" s="38" t="inlineStr">
        <is>
          <t>CRM, Inventory &amp; documents</t>
        </is>
      </c>
      <c r="C12" s="39" t="inlineStr">
        <is>
          <t>Take material off with wastage</t>
        </is>
      </c>
      <c r="D12" s="38" t="inlineStr">
        <is>
          <t>1. On the metre line click Add material. Enter how much one metre needs and a wastage of 5%.
2. Save.</t>
        </is>
      </c>
      <c r="E12" s="38" t="inlineStr">
        <is>
          <t>The line's material cost now comes from the takeoff, including the 5% wastage.</t>
        </is>
      </c>
      <c r="F12" s="40" t="inlineStr"/>
      <c r="G12" s="41" t="n"/>
      <c r="H12" s="41" t="n"/>
      <c r="I12" s="41" t="n"/>
      <c r="J12" s="41" t="n"/>
      <c r="K12" s="42" t="n"/>
    </row>
    <row r="13" ht="60" customHeight="1">
      <c r="A13" s="37" t="inlineStr">
        <is>
          <t>EST-06</t>
        </is>
      </c>
      <c r="B13" s="38" t="inlineStr">
        <is>
          <t>CRM, Inventory &amp; documents</t>
        </is>
      </c>
      <c r="C13" s="39" t="inlineStr">
        <is>
          <t>An estimate with nothing costed cannot be priced</t>
        </is>
      </c>
      <c r="D13" s="38" t="inlineStr">
        <is>
          <t>1. Start a second estimate, add a line with no material, labour, plant or subcontract cost.
2. Click Mark it priced.</t>
        </is>
      </c>
      <c r="E13" s="38" t="inlineStr">
        <is>
          <t>Refused: nothing has been costed yet, so there is no price to quote. (A price below cost is also refused unless it is deliberately marked as a loss leader.)</t>
        </is>
      </c>
      <c r="F13" s="40" t="inlineStr"/>
      <c r="G13" s="41" t="n"/>
      <c r="H13" s="41" t="n"/>
      <c r="I13" s="41" t="n"/>
      <c r="J13" s="41" t="n"/>
      <c r="K13" s="42" t="n"/>
    </row>
    <row r="14" ht="87" customHeight="1">
      <c r="A14" s="37" t="inlineStr">
        <is>
          <t>EST-07</t>
        </is>
      </c>
      <c r="B14" s="38" t="inlineStr">
        <is>
          <t>CRM, Inventory &amp; documents</t>
        </is>
      </c>
      <c r="C14" s="39" t="inlineStr">
        <is>
          <t>Raise a quotation and check the draft PDF</t>
        </is>
      </c>
      <c r="D14" s="38" t="inlineStr">
        <is>
          <t>1. Open Quotations and click Raise a quotation, choosing your priced estimate.
2. Click Print.</t>
        </is>
      </c>
      <c r="E14" s="38" t="inlineStr">
        <is>
          <t>The total comes from the estimate, with no box to change it. The PDF shows DRAFT across every page, the customer, each line with quantity, unit, rate and amount, the total in words and your quotation terms. It shows no cost, margin or markup.</t>
        </is>
      </c>
      <c r="F14" s="40" t="inlineStr"/>
      <c r="G14" s="41" t="n"/>
      <c r="H14" s="41" t="n"/>
      <c r="I14" s="41" t="n"/>
      <c r="J14" s="41" t="n"/>
      <c r="K14" s="42" t="n"/>
    </row>
    <row r="15" ht="46.5" customHeight="1">
      <c r="A15" s="37" t="inlineStr">
        <is>
          <t>EST-08</t>
        </is>
      </c>
      <c r="B15" s="38" t="inlineStr">
        <is>
          <t>CRM, Inventory &amp; documents</t>
        </is>
      </c>
      <c r="C15" s="39" t="inlineStr">
        <is>
          <t>Send a quotation for approval</t>
        </is>
      </c>
      <c r="D15" s="38" t="inlineStr">
        <is>
          <t>1. Click Send for approval.
2. Try to issue it before anyone has approved.</t>
        </is>
      </c>
      <c r="E15" s="38" t="inlineStr">
        <is>
          <t>The status is Awaiting approval and the PDF still says DRAFT. It cannot be sent to the customer until management has signed it.</t>
        </is>
      </c>
      <c r="F15" s="40" t="inlineStr"/>
      <c r="G15" s="41" t="n"/>
      <c r="H15" s="41" t="n"/>
      <c r="I15" s="41" t="n"/>
      <c r="J15" s="41" t="n"/>
      <c r="K15" s="42" t="n"/>
    </row>
    <row r="16" ht="114" customHeight="1">
      <c r="A16" s="37" t="inlineStr">
        <is>
          <t>EST-09</t>
        </is>
      </c>
      <c r="B16" s="38" t="inlineStr">
        <is>
          <t>CRM, Inventory &amp; documents</t>
        </is>
      </c>
      <c r="C16" s="39" t="inlineStr">
        <is>
          <t>Email the approved quotation</t>
        </is>
      </c>
      <c r="D16" s="38" t="inlineStr">
        <is>
          <t>1. Once approved, click Email it to the customer.
2. Tick the customer contact, and send.</t>
        </is>
      </c>
      <c r="E16" s="38" t="inlineStr">
        <is>
          <t>The status becomes Issued. The customer contact receives an email with the quotation PDF attached. The PDF no longer says DRAFT. The send is listed on Settings → Email.</t>
        </is>
      </c>
      <c r="F16" s="40" t="inlineStr">
        <is>
          <t>Needs APR-01 approved, and ADM-05 for real email. Without a mail server the button reads “Issue to the customer” and only records where it went.</t>
        </is>
      </c>
      <c r="G16" s="41" t="n"/>
      <c r="H16" s="41" t="n"/>
      <c r="I16" s="41" t="n"/>
      <c r="J16" s="41" t="n"/>
      <c r="K16" s="42" t="n"/>
    </row>
    <row r="17" ht="60" customHeight="1">
      <c r="A17" s="37" t="inlineStr">
        <is>
          <t>EST-10</t>
        </is>
      </c>
      <c r="B17" s="38" t="inlineStr">
        <is>
          <t>CRM, Inventory &amp; documents</t>
        </is>
      </c>
      <c r="C17" s="39" t="inlineStr">
        <is>
          <t>Revise an issued quotation</t>
        </is>
      </c>
      <c r="D17" s="38" t="inlineStr">
        <is>
          <t>1. On the issued quotation click Raise a revision.
2. Print the old one, then the new one.</t>
        </is>
      </c>
      <c r="E17" s="38" t="inlineStr">
        <is>
          <t>The old quotation is marked Superseded and its PDF says SUPERSEDED. The new one is titled Quotation — Revision 2 and goes for approval again.</t>
        </is>
      </c>
      <c r="F17" s="40" t="inlineStr"/>
      <c r="G17" s="41" t="n"/>
      <c r="H17" s="41" t="n"/>
      <c r="I17" s="41" t="n"/>
      <c r="J17" s="41" t="n"/>
      <c r="K17" s="42" t="n"/>
    </row>
    <row r="18" ht="60" customHeight="1">
      <c r="A18" s="37" t="inlineStr">
        <is>
          <t>EST-11</t>
        </is>
      </c>
      <c r="B18" s="38" t="inlineStr">
        <is>
          <t>CRM, Inventory &amp; documents</t>
        </is>
      </c>
      <c r="C18" s="39" t="inlineStr">
        <is>
          <t>Record the customer's order</t>
        </is>
      </c>
      <c r="D18" s="38" t="inlineStr">
        <is>
          <t>1. On an issued quotation click They ordered it.
2. Enter their PO number and date, and a value slightly different from the quote.
3. Confirm.</t>
        </is>
      </c>
      <c r="E18" s="38" t="inlineStr">
        <is>
          <t>The difference is shown while you type and must be confirmed. A job is created at the customer's value, not the quoted one, with a budget taken from the estimate.</t>
        </is>
      </c>
      <c r="F18" s="40" t="inlineStr"/>
      <c r="G18" s="41" t="n"/>
      <c r="H18" s="41" t="n"/>
      <c r="I18" s="41" t="n"/>
      <c r="J18" s="41" t="n"/>
      <c r="K18" s="42" t="n"/>
    </row>
    <row r="19" ht="46.5" customHeight="1">
      <c r="A19" s="37" t="inlineStr">
        <is>
          <t>EST-12</t>
        </is>
      </c>
      <c r="B19" s="38" t="inlineStr">
        <is>
          <t>CRM, Inventory &amp; documents</t>
        </is>
      </c>
      <c r="C19" s="39" t="inlineStr">
        <is>
          <t>Record a lost enquiry, and see why work is lost</t>
        </is>
      </c>
      <c r="D19" s="38" t="inlineStr">
        <is>
          <t>1. Move an enquiry to Lost. Give the reason and who won it.
2. Open All reports → Where the Work Comes From.</t>
        </is>
      </c>
      <c r="E19" s="38" t="inlineStr">
        <is>
          <t>You cannot mark it lost without a reason. The report groups lost work by reason, ordered by value, and lists who took it.</t>
        </is>
      </c>
      <c r="F19" s="40" t="inlineStr"/>
      <c r="G19" s="41" t="n"/>
      <c r="H19" s="41" t="n"/>
      <c r="I19" s="41" t="n"/>
      <c r="J19" s="41" t="n"/>
      <c r="K19" s="42" t="n"/>
    </row>
    <row r="20" ht="87" customHeight="1">
      <c r="A20" s="37" t="inlineStr">
        <is>
          <t>EST-13</t>
        </is>
      </c>
      <c r="B20" s="38" t="inlineStr">
        <is>
          <t>CRM, Inventory &amp; documents</t>
        </is>
      </c>
      <c r="C20" s="39" t="inlineStr">
        <is>
          <t>The sales dashboard agrees with the pipeline</t>
        </is>
      </c>
      <c r="D20" s="38" t="inlineStr">
        <is>
          <t>1. Click CRM &amp; Estimation in the menu. It opens on the Dashboard tab.
2. Note Open pipeline and the value beside each stage.
3. Open the Pipeline tab and add up the open deals in one stage.</t>
        </is>
      </c>
      <c r="E20" s="38" t="inlineStr">
        <is>
          <t>The stage value on the dashboard is the sum of that stage's deals on the Pipeline. Likely to win is smaller than Open pipeline. Quotations expiring within 14 days are listed, soonest first, and each line opens the quotation list.</t>
        </is>
      </c>
      <c r="F20" s="40" t="inlineStr"/>
      <c r="G20" s="41" t="n"/>
      <c r="H20" s="41" t="n"/>
      <c r="I20" s="41" t="n"/>
      <c r="J20" s="41" t="n"/>
      <c r="K20" s="42" t="n"/>
    </row>
  </sheetData>
  <autoFilter ref="A7:K20"/>
  <mergeCells count="2">
    <mergeCell ref="A3:F3"/>
    <mergeCell ref="C4:D4"/>
  </mergeCells>
  <conditionalFormatting sqref="G8:G20">
    <cfRule type="expression" priority="1" dxfId="2">
      <formula>$G8="Pass"</formula>
    </cfRule>
    <cfRule type="expression" priority="2" dxfId="0">
      <formula>$G8="Fail"</formula>
    </cfRule>
    <cfRule type="expression" priority="3" dxfId="1">
      <formula>$G8="Blocked"</formula>
    </cfRule>
  </conditionalFormatting>
  <conditionalFormatting sqref="H8:I20">
    <cfRule type="expression" priority="4" dxfId="3">
      <formula>AND(OR($G8="Fail",$G8="Blocked"),H8="")</formula>
    </cfRule>
  </conditionalFormatting>
  <dataValidations count="3">
    <dataValidation sqref="G8:G20" showDropDown="0" showInputMessage="0" showErrorMessage="1" allowBlank="1" errorTitle="Result" error="Choose Pass, Fail, Blocked or Not run." type="list">
      <formula1>"Pass,Fail,Blocked,Not run"</formula1>
    </dataValidation>
    <dataValidation sqref="H8:H20" showDropDown="0" showInputMessage="0" showErrorMessage="1" allowBlank="1" errorTitle="Severity" error="Choose Critical, Major, Minor or Suggestion." type="list">
      <formula1>"Critical,Major,Minor,Suggestion"</formula1>
    </dataValidation>
    <dataValidation sqref="K8:K20"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Estimator - Sales&amp;RPage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15"/>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Operations &amp; Directors</t>
        </is>
      </c>
    </row>
    <row r="2">
      <c r="A2" s="29" t="inlineStr">
        <is>
          <t>Sign in as:</t>
        </is>
      </c>
      <c r="C2" s="30" t="inlineStr">
        <is>
          <t>Operations Manager, then Director</t>
        </is>
      </c>
    </row>
    <row r="3" ht="30" customHeight="1">
      <c r="A3" s="33" t="inlineStr">
        <is>
          <t>Signs quotations and purchase orders, and reads the reports that say how the business is doing. Some checks need a second login at the next level.</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73.5" customHeight="1">
      <c r="A8" s="37" t="inlineStr">
        <is>
          <t>APR-01</t>
        </is>
      </c>
      <c r="B8" s="38" t="inlineStr">
        <is>
          <t>CRM, Inventory &amp; documents</t>
        </is>
      </c>
      <c r="C8" s="39" t="inlineStr">
        <is>
          <t>Approve a quotation through the route</t>
        </is>
      </c>
      <c r="D8" s="38" t="inlineStr">
        <is>
          <t>1. As Operations Manager, open Approvals and approve the estimator's quotation with a comment.
2. As Director, approve it.</t>
        </is>
      </c>
      <c r="E8" s="38" t="inlineStr">
        <is>
          <t>After the Operations Manager it waits for the Director. After the Director it is Approved and the estimator can send it. A quotation of AED 500,000 or more also needs the Managing Director.</t>
        </is>
      </c>
      <c r="F8" s="40" t="inlineStr">
        <is>
          <t>Needs EST-08.</t>
        </is>
      </c>
      <c r="G8" s="41" t="n"/>
      <c r="H8" s="41" t="n"/>
      <c r="I8" s="41" t="n"/>
      <c r="J8" s="41" t="n"/>
      <c r="K8" s="42" t="n"/>
    </row>
    <row r="9" ht="60" customHeight="1">
      <c r="A9" s="37" t="inlineStr">
        <is>
          <t>APR-02</t>
        </is>
      </c>
      <c r="B9" s="38" t="inlineStr">
        <is>
          <t>CRM, Inventory &amp; documents</t>
        </is>
      </c>
      <c r="C9" s="39" t="inlineStr">
        <is>
          <t>Approve a purchase order through the route</t>
        </is>
      </c>
      <c r="D9" s="38" t="inlineStr">
        <is>
          <t>1. As Operations Manager, approve the order after the Project Manager has.
2. As Director, approve it.</t>
        </is>
      </c>
      <c r="E9" s="38" t="inlineStr">
        <is>
          <t>The order becomes Approved and the storekeeper can now record deliveries against it. An order of AED 50,000 or more also needs the Managing Director.</t>
        </is>
      </c>
      <c r="F9" s="40" t="inlineStr">
        <is>
          <t>Needs PRC-07 and PM-02.</t>
        </is>
      </c>
      <c r="G9" s="41" t="n"/>
      <c r="H9" s="41" t="n"/>
      <c r="I9" s="41" t="n"/>
      <c r="J9" s="41" t="n"/>
      <c r="K9" s="42" t="n"/>
    </row>
    <row r="10" ht="46.5" customHeight="1">
      <c r="A10" s="37" t="inlineStr">
        <is>
          <t>APR-03</t>
        </is>
      </c>
      <c r="B10" s="38" t="inlineStr">
        <is>
          <t>CRM, Inventory &amp; documents</t>
        </is>
      </c>
      <c r="C10" s="39" t="inlineStr">
        <is>
          <t>Reject with a reason</t>
        </is>
      </c>
      <c r="D10" s="38" t="inlineStr">
        <is>
          <t>1. Reject a pending purchase order or quotation with a comment.</t>
        </is>
      </c>
      <c r="E10" s="38" t="inlineStr">
        <is>
          <t>It is Rejected, the comment is kept, and a rejected purchase order prints with REJECTED across the page.</t>
        </is>
      </c>
      <c r="F10" s="40" t="inlineStr"/>
      <c r="G10" s="41" t="n"/>
      <c r="H10" s="41" t="n"/>
      <c r="I10" s="41" t="n"/>
      <c r="J10" s="41" t="n"/>
      <c r="K10" s="42" t="n"/>
    </row>
    <row r="11" ht="46.5" customHeight="1">
      <c r="A11" s="37" t="inlineStr">
        <is>
          <t>APR-04</t>
        </is>
      </c>
      <c r="B11" s="38" t="inlineStr">
        <is>
          <t>CRM, Inventory &amp; documents</t>
        </is>
      </c>
      <c r="C11" s="39" t="inlineStr">
        <is>
          <t>Nobody approves a step above their level</t>
        </is>
      </c>
      <c r="D11" s="38" t="inlineStr">
        <is>
          <t>1. Sign in as the Project Manager and open Approvals while a purchase order is waiting for the Director.</t>
        </is>
      </c>
      <c r="E11" s="38" t="inlineStr">
        <is>
          <t>The order is not in the Project Manager's pending list and there is no Approve button for it.</t>
        </is>
      </c>
      <c r="F11" s="40" t="inlineStr"/>
      <c r="G11" s="41" t="n"/>
      <c r="H11" s="41" t="n"/>
      <c r="I11" s="41" t="n"/>
      <c r="J11" s="41" t="n"/>
      <c r="K11" s="42" t="n"/>
    </row>
    <row r="12" ht="60" customHeight="1">
      <c r="A12" s="37" t="inlineStr">
        <is>
          <t>APR-08</t>
        </is>
      </c>
      <c r="B12" s="38" t="inlineStr">
        <is>
          <t>CRM, Inventory &amp; documents</t>
        </is>
      </c>
      <c r="C12" s="39" t="inlineStr">
        <is>
          <t>Approve the Project Manager step of material requests</t>
        </is>
      </c>
      <c r="D12" s="38" t="inlineStr">
        <is>
          <t>1. As Operations Manager, open Approvals and approve the two material requests waiting for Project Manager (from SITE-01 and PM-03).</t>
        </is>
      </c>
      <c r="E12" s="38" t="inlineStr">
        <is>
          <t>Both move on to Procurement. A senior role may act for a junior step, but the person who raised a request, or already decided one of its steps, cannot.</t>
        </is>
      </c>
      <c r="F12" s="40" t="inlineStr">
        <is>
          <t>Needs PM-01 and SITE-03.</t>
        </is>
      </c>
      <c r="G12" s="41" t="n"/>
      <c r="H12" s="41" t="n"/>
      <c r="I12" s="41" t="n"/>
      <c r="J12" s="41" t="n"/>
      <c r="K12" s="42" t="n"/>
    </row>
    <row r="13" ht="87" customHeight="1">
      <c r="A13" s="37" t="inlineStr">
        <is>
          <t>APR-05</t>
        </is>
      </c>
      <c r="B13" s="38" t="inlineStr">
        <is>
          <t>CRM, Inventory &amp; documents</t>
        </is>
      </c>
      <c r="C13" s="39" t="inlineStr">
        <is>
          <t>Find a report by what you want to know</t>
        </is>
      </c>
      <c r="D13" s="38" t="inlineStr">
        <is>
          <t>1. Open Reports. Search for “late”, then “scrap”, then “win”.</t>
        </is>
      </c>
      <c r="E13" s="38" t="inlineStr">
        <is>
          <t>“late” finds Purchase Orders; “scrap” finds Returns from Site; “win” finds Quotations &amp; Hit Rate. The Buying and stores section lists purchase orders, supplier performance, material requests, enquiries, receipts and issues, and returns.</t>
        </is>
      </c>
      <c r="F13" s="40" t="inlineStr"/>
      <c r="G13" s="41" t="n"/>
      <c r="H13" s="41" t="n"/>
      <c r="I13" s="41" t="n"/>
      <c r="J13" s="41" t="n"/>
      <c r="K13" s="42" t="n"/>
    </row>
    <row r="14" ht="60" customHeight="1">
      <c r="A14" s="37" t="inlineStr">
        <is>
          <t>APR-06</t>
        </is>
      </c>
      <c r="B14" s="38" t="inlineStr">
        <is>
          <t>CRM, Inventory &amp; documents</t>
        </is>
      </c>
      <c r="C14" s="39" t="inlineStr">
        <is>
          <t>The quotation hit rate is by value</t>
        </is>
      </c>
      <c r="D14" s="38" t="inlineStr">
        <is>
          <t>1. Open CRM &amp; Estimation → Quotations.</t>
        </is>
      </c>
      <c r="E14" s="38" t="inlineStr">
        <is>
          <t>The hit rate is worked out by value, not by count. With fewer than three decided quotations it says “too few to call” instead of a percentage.</t>
        </is>
      </c>
      <c r="F14" s="40" t="inlineStr"/>
      <c r="G14" s="41" t="n"/>
      <c r="H14" s="41" t="n"/>
      <c r="I14" s="41" t="n"/>
      <c r="J14" s="41" t="n"/>
      <c r="K14" s="42" t="n"/>
    </row>
    <row r="15" ht="60" customHeight="1">
      <c r="A15" s="37" t="inlineStr">
        <is>
          <t>APR-07</t>
        </is>
      </c>
      <c r="B15" s="38" t="inlineStr">
        <is>
          <t>CRM, Inventory &amp; documents</t>
        </is>
      </c>
      <c r="C15" s="39" t="inlineStr">
        <is>
          <t>The pipeline is weighted honestly</t>
        </is>
      </c>
      <c r="D15" s="38" t="inlineStr">
        <is>
          <t>1. Open CRM &amp; Estimation → Pipeline.</t>
        </is>
      </c>
      <c r="E15" s="38" t="inlineStr">
        <is>
          <t>The headline figure is the weighted pipeline, smaller than the gross value shown beside it. Each column shows its own weighted total and chance of winning.</t>
        </is>
      </c>
      <c r="F15" s="40" t="inlineStr"/>
      <c r="G15" s="41" t="n"/>
      <c r="H15" s="41" t="n"/>
      <c r="I15" s="41" t="n"/>
      <c r="J15" s="41" t="n"/>
      <c r="K15" s="42" t="n"/>
    </row>
  </sheetData>
  <autoFilter ref="A7:K15"/>
  <mergeCells count="2">
    <mergeCell ref="A3:F3"/>
    <mergeCell ref="C4:D4"/>
  </mergeCells>
  <conditionalFormatting sqref="G8:G15">
    <cfRule type="expression" priority="1" dxfId="2">
      <formula>$G8="Pass"</formula>
    </cfRule>
    <cfRule type="expression" priority="2" dxfId="0">
      <formula>$G8="Fail"</formula>
    </cfRule>
    <cfRule type="expression" priority="3" dxfId="1">
      <formula>$G8="Blocked"</formula>
    </cfRule>
  </conditionalFormatting>
  <conditionalFormatting sqref="H8:I15">
    <cfRule type="expression" priority="4" dxfId="3">
      <formula>AND(OR($G8="Fail",$G8="Blocked"),H8="")</formula>
    </cfRule>
  </conditionalFormatting>
  <dataValidations count="3">
    <dataValidation sqref="G8:G15" showDropDown="0" showInputMessage="0" showErrorMessage="1" allowBlank="1" errorTitle="Result" error="Choose Pass, Fail, Blocked or Not run." type="list">
      <formula1>"Pass,Fail,Blocked,Not run"</formula1>
    </dataValidation>
    <dataValidation sqref="H8:H15" showDropDown="0" showInputMessage="0" showErrorMessage="1" allowBlank="1" errorTitle="Severity" error="Choose Critical, Major, Minor or Suggestion." type="list">
      <formula1>"Critical,Major,Minor,Suggestion"</formula1>
    </dataValidation>
    <dataValidation sqref="K8:K15"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Operations &amp; Directors&amp;RPage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12"/>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Site Engineer</t>
        </is>
      </c>
    </row>
    <row r="2">
      <c r="A2" s="29" t="inlineStr">
        <is>
          <t>Sign in as:</t>
        </is>
      </c>
      <c r="C2" s="30" t="inlineStr">
        <is>
          <t>Site Engineer / Planner</t>
        </is>
      </c>
    </row>
    <row r="3" ht="30" customHeight="1">
      <c r="A3" s="33" t="inlineStr">
        <is>
          <t>Asks the store for material for a job, and is the first to approve a material request.</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100.5" customHeight="1">
      <c r="A8" s="37" t="inlineStr">
        <is>
          <t>SITE-01</t>
        </is>
      </c>
      <c r="B8" s="38" t="inlineStr">
        <is>
          <t>CRM, Inventory &amp; documents</t>
        </is>
      </c>
      <c r="C8" s="39" t="inlineStr">
        <is>
          <t>Ask for material for a job</t>
        </is>
      </c>
      <c r="D8" s="38" t="inlineStr">
        <is>
          <t>1. Open Inventory &amp; SCM → Material Requests and click Raise a request.
2. Choose an open job, deliver to T-MAIN, and a needed-by date.
3. Add T-CBL-4C16 × 300 metres, T-GLD-M25 × 50, and one line described in words with no item.
4. Click Send for approval.</t>
        </is>
      </c>
      <c r="E8" s="38" t="inlineStr">
        <is>
          <t>The request is Submitted. Its card says in a sentence what can be issued from the shelf and what is short.</t>
        </is>
      </c>
      <c r="F8" s="40" t="inlineStr"/>
      <c r="G8" s="41" t="n"/>
      <c r="H8" s="41" t="n"/>
      <c r="I8" s="41" t="n"/>
      <c r="J8" s="41" t="n"/>
      <c r="K8" s="42" t="n"/>
    </row>
    <row r="9" ht="46.5" customHeight="1">
      <c r="A9" s="37" t="inlineStr">
        <is>
          <t>SITE-02</t>
        </is>
      </c>
      <c r="B9" s="38" t="inlineStr">
        <is>
          <t>CRM, Inventory &amp; documents</t>
        </is>
      </c>
      <c r="C9" s="39" t="inlineStr">
        <is>
          <t>Print the request before it is approved</t>
        </is>
      </c>
      <c r="D9" s="38" t="inlineStr">
        <is>
          <t>1. On the request card click Print.</t>
        </is>
      </c>
      <c r="E9" s="38" t="inlineStr">
        <is>
          <t>The PDF says NOT APPROVED across the page, lists job, store, needed-by date and lines, and shows no prices.</t>
        </is>
      </c>
      <c r="F9" s="40" t="inlineStr"/>
      <c r="G9" s="41" t="n"/>
      <c r="H9" s="41" t="n"/>
      <c r="I9" s="41" t="n"/>
      <c r="J9" s="41" t="n"/>
      <c r="K9" s="42" t="n"/>
    </row>
    <row r="10" ht="87" customHeight="1">
      <c r="A10" s="37" t="inlineStr">
        <is>
          <t>SITE-03</t>
        </is>
      </c>
      <c r="B10" s="38" t="inlineStr">
        <is>
          <t>CRM, Inventory &amp; documents</t>
        </is>
      </c>
      <c r="C10" s="39" t="inlineStr">
        <is>
          <t>Approve someone else's request, not your own</t>
        </is>
      </c>
      <c r="D10" s="38" t="inlineStr">
        <is>
          <t>1. Open Approvals. Find the request you raised in SITE-01 and click Approve.
2. Now approve the Project Manager's request from PM-03, which is waiting for Site Engineer / Planner.</t>
        </is>
      </c>
      <c r="E10" s="38" t="inlineStr">
        <is>
          <t>Your own request is refused with “You raised this request, so someone else has to approve it.” The Project Manager's request is approved and moves on to the Project Manager step. If your role cannot approve at all, the screen says so rather than doing nothing.</t>
        </is>
      </c>
      <c r="F10" s="40" t="inlineStr">
        <is>
          <t>Needs PM-03. Nobody approves what they raised — the same rule as a cheque needing a second signature.</t>
        </is>
      </c>
      <c r="G10" s="41" t="n"/>
      <c r="H10" s="41" t="n"/>
      <c r="I10" s="41" t="n"/>
      <c r="J10" s="41" t="n"/>
      <c r="K10" s="42" t="n"/>
    </row>
    <row r="11" ht="73.5" customHeight="1">
      <c r="A11" s="37" t="inlineStr">
        <is>
          <t>SITE-05</t>
        </is>
      </c>
      <c r="B11" s="38" t="inlineStr">
        <is>
          <t>Finance &amp; HR</t>
        </is>
      </c>
      <c r="C11" s="39" t="inlineStr">
        <is>
          <t>Inventory is in the menu, with only your figures</t>
        </is>
      </c>
      <c r="D11" s="38" t="inlineStr">
        <is>
          <t>1. Look at the menu for Inventory &amp; SCM and click it.
2. Look at what the Stores Dashboard shows.</t>
        </is>
      </c>
      <c r="E11" s="38" t="inlineStr">
        <is>
          <t>Inventory &amp; SCM is in the menu and opens the Stores Dashboard. It shows stock value, items running low and requests waiting. There is no Purchase orders panel and no supplier prices — those belong to Procurement.</t>
        </is>
      </c>
      <c r="F11" s="40" t="inlineStr"/>
      <c r="G11" s="41" t="n"/>
      <c r="H11" s="41" t="n"/>
      <c r="I11" s="41" t="n"/>
      <c r="J11" s="41" t="n"/>
      <c r="K11" s="42" t="n"/>
    </row>
    <row r="12" ht="46.5" customHeight="1">
      <c r="A12" s="37" t="inlineStr">
        <is>
          <t>SITE-04</t>
        </is>
      </c>
      <c r="B12" s="38" t="inlineStr">
        <is>
          <t>CRM, Inventory &amp; documents</t>
        </is>
      </c>
      <c r="C12" s="39" t="inlineStr">
        <is>
          <t>A request must ask for something</t>
        </is>
      </c>
      <c r="D12" s="38" t="inlineStr">
        <is>
          <t>1. Start a new request, remove every line, and click Send for approval.</t>
        </is>
      </c>
      <c r="E12" s="38" t="inlineStr">
        <is>
          <t>It is refused, asking for at least one line saying what is needed and how much.</t>
        </is>
      </c>
      <c r="F12" s="40" t="inlineStr"/>
      <c r="G12" s="41" t="n"/>
      <c r="H12" s="41" t="n"/>
      <c r="I12" s="41" t="n"/>
      <c r="J12" s="41" t="n"/>
      <c r="K12" s="42" t="n"/>
    </row>
  </sheetData>
  <autoFilter ref="A7:K12"/>
  <mergeCells count="2">
    <mergeCell ref="A3:F3"/>
    <mergeCell ref="C4:D4"/>
  </mergeCells>
  <conditionalFormatting sqref="G8:G12">
    <cfRule type="expression" priority="1" dxfId="2">
      <formula>$G8="Pass"</formula>
    </cfRule>
    <cfRule type="expression" priority="2" dxfId="0">
      <formula>$G8="Fail"</formula>
    </cfRule>
    <cfRule type="expression" priority="3" dxfId="1">
      <formula>$G8="Blocked"</formula>
    </cfRule>
  </conditionalFormatting>
  <conditionalFormatting sqref="H8:I12">
    <cfRule type="expression" priority="4" dxfId="3">
      <formula>AND(OR($G8="Fail",$G8="Blocked"),H8="")</formula>
    </cfRule>
  </conditionalFormatting>
  <dataValidations count="3">
    <dataValidation sqref="G8:G12" showDropDown="0" showInputMessage="0" showErrorMessage="1" allowBlank="1" errorTitle="Result" error="Choose Pass, Fail, Blocked or Not run." type="list">
      <formula1>"Pass,Fail,Blocked,Not run"</formula1>
    </dataValidation>
    <dataValidation sqref="H8:H12" showDropDown="0" showInputMessage="0" showErrorMessage="1" allowBlank="1" errorTitle="Severity" error="Choose Critical, Major, Minor or Suggestion." type="list">
      <formula1>"Critical,Major,Minor,Suggestion"</formula1>
    </dataValidation>
    <dataValidation sqref="K8:K12"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Site Engineer&amp;RPage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0"/>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Project Manager</t>
        </is>
      </c>
    </row>
    <row r="2">
      <c r="A2" s="29" t="inlineStr">
        <is>
          <t>Sign in as:</t>
        </is>
      </c>
      <c r="C2" s="30" t="inlineStr">
        <is>
          <t>Project Manager</t>
        </is>
      </c>
    </row>
    <row r="3" ht="30" customHeight="1">
      <c r="A3" s="33" t="inlineStr">
        <is>
          <t>Approves material requests and purchase orders for the jobs they run.</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87" customHeight="1">
      <c r="A8" s="37" t="inlineStr">
        <is>
          <t>PM-01</t>
        </is>
      </c>
      <c r="B8" s="38" t="inlineStr">
        <is>
          <t>CRM, Inventory &amp; documents</t>
        </is>
      </c>
      <c r="C8" s="39" t="inlineStr">
        <is>
          <t>Approve a material request, one step only</t>
        </is>
      </c>
      <c r="D8" s="38" t="inlineStr">
        <is>
          <t>1. Open Approvals and approve the Site Engineer's request from SITE-01 at its Site Engineer / Planner step — a Project Manager may act for a more junior role.
2. Now try to approve the same request again at the Project Manager step.</t>
        </is>
      </c>
      <c r="E8" s="38" t="inlineStr">
        <is>
          <t>The first approval goes through. The second is refused with “You have already decided an earlier step of this request. The next step needs a different person.” It waits for the Operations Manager (APR-08).</t>
        </is>
      </c>
      <c r="F8" s="40" t="inlineStr">
        <is>
          <t>Needs SITE-01. One person never walks a request through two levels.</t>
        </is>
      </c>
      <c r="G8" s="41" t="n"/>
      <c r="H8" s="41" t="n"/>
      <c r="I8" s="41" t="n"/>
      <c r="J8" s="41" t="n"/>
      <c r="K8" s="42" t="n"/>
    </row>
    <row r="9" ht="46.5" customHeight="1">
      <c r="A9" s="37" t="inlineStr">
        <is>
          <t>PM-02</t>
        </is>
      </c>
      <c r="B9" s="38" t="inlineStr">
        <is>
          <t>CRM, Inventory &amp; documents</t>
        </is>
      </c>
      <c r="C9" s="39" t="inlineStr">
        <is>
          <t>Approve a purchase order</t>
        </is>
      </c>
      <c r="D9" s="38" t="inlineStr">
        <is>
          <t>1. Open Approvals and approve the purchase order waiting for Project Manager.</t>
        </is>
      </c>
      <c r="E9" s="38" t="inlineStr">
        <is>
          <t>The order moves on to the Operations Manager. It still cannot be received against.</t>
        </is>
      </c>
      <c r="F9" s="40" t="inlineStr">
        <is>
          <t>Needs PRC-07.</t>
        </is>
      </c>
      <c r="G9" s="41" t="n"/>
      <c r="H9" s="41" t="n"/>
      <c r="I9" s="41" t="n"/>
      <c r="J9" s="41" t="n"/>
      <c r="K9" s="42" t="n"/>
    </row>
    <row r="10" ht="46.5" customHeight="1">
      <c r="A10" s="37" t="inlineStr">
        <is>
          <t>PM-03</t>
        </is>
      </c>
      <c r="B10" s="38" t="inlineStr">
        <is>
          <t>CRM, Inventory &amp; documents</t>
        </is>
      </c>
      <c r="C10" s="39" t="inlineStr">
        <is>
          <t>Raise your own request</t>
        </is>
      </c>
      <c r="D10" s="38" t="inlineStr">
        <is>
          <t>1. Raise a material request for one of your jobs as in SITE-01.</t>
        </is>
      </c>
      <c r="E10" s="38" t="inlineStr">
        <is>
          <t>The request is Submitted and appears in the approvals route starting with the Site Engineer / Planner.</t>
        </is>
      </c>
      <c r="F10" s="40" t="inlineStr"/>
      <c r="G10" s="41" t="n"/>
      <c r="H10" s="41" t="n"/>
      <c r="I10" s="41" t="n"/>
      <c r="J10" s="41" t="n"/>
      <c r="K10" s="42" t="n"/>
    </row>
  </sheetData>
  <autoFilter ref="A7:K10"/>
  <mergeCells count="2">
    <mergeCell ref="A3:F3"/>
    <mergeCell ref="C4:D4"/>
  </mergeCells>
  <conditionalFormatting sqref="G8:G10">
    <cfRule type="expression" priority="1" dxfId="2">
      <formula>$G8="Pass"</formula>
    </cfRule>
    <cfRule type="expression" priority="2" dxfId="0">
      <formula>$G8="Fail"</formula>
    </cfRule>
    <cfRule type="expression" priority="3" dxfId="1">
      <formula>$G8="Blocked"</formula>
    </cfRule>
  </conditionalFormatting>
  <conditionalFormatting sqref="H8:I10">
    <cfRule type="expression" priority="4" dxfId="3">
      <formula>AND(OR($G8="Fail",$G8="Blocked"),H8="")</formula>
    </cfRule>
  </conditionalFormatting>
  <dataValidations count="3">
    <dataValidation sqref="G8:G10" showDropDown="0" showInputMessage="0" showErrorMessage="1" allowBlank="1" errorTitle="Result" error="Choose Pass, Fail, Blocked or Not run." type="list">
      <formula1>"Pass,Fail,Blocked,Not run"</formula1>
    </dataValidation>
    <dataValidation sqref="H8:H10" showDropDown="0" showInputMessage="0" showErrorMessage="1" allowBlank="1" errorTitle="Severity" error="Choose Critical, Major, Minor or Suggestion." type="list">
      <formula1>"Critical,Major,Minor,Suggestion"</formula1>
    </dataValidation>
    <dataValidation sqref="K8:K10"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Project Manager&amp;RPage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9"/>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Procurement</t>
        </is>
      </c>
    </row>
    <row r="2">
      <c r="A2" s="29" t="inlineStr">
        <is>
          <t>Sign in as:</t>
        </is>
      </c>
      <c r="C2" s="30" t="inlineStr">
        <is>
          <t>Procurement Officer</t>
        </is>
      </c>
    </row>
    <row r="3" ht="30" customHeight="1">
      <c r="A3" s="33" t="inlineStr">
        <is>
          <t>Turns approved requests into enquiries and orders: three quotes, a reasoned award, and an order the supplier receives on the company letterhead.</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46.5" customHeight="1">
      <c r="A8" s="37" t="inlineStr">
        <is>
          <t>PRC-01</t>
        </is>
      </c>
      <c r="B8" s="38" t="inlineStr">
        <is>
          <t>CRM, Inventory &amp; documents</t>
        </is>
      </c>
      <c r="C8" s="39" t="inlineStr">
        <is>
          <t>Final approval of a material request</t>
        </is>
      </c>
      <c r="D8" s="38" t="inlineStr">
        <is>
          <t>1. Open Approvals and approve both material requests waiting for Procurement Officer.</t>
        </is>
      </c>
      <c r="E8" s="38" t="inlineStr">
        <is>
          <t>Both requests are Approved. On Material Requests their cards now offer Raise an order.</t>
        </is>
      </c>
      <c r="F8" s="40" t="inlineStr">
        <is>
          <t>Needs APR-08.</t>
        </is>
      </c>
      <c r="G8" s="41" t="n"/>
      <c r="H8" s="41" t="n"/>
      <c r="I8" s="41" t="n"/>
      <c r="J8" s="41" t="n"/>
      <c r="K8" s="42" t="n"/>
    </row>
    <row r="9" ht="73.5" customHeight="1">
      <c r="A9" s="37" t="inlineStr">
        <is>
          <t>PRC-02</t>
        </is>
      </c>
      <c r="B9" s="38" t="inlineStr">
        <is>
          <t>CRM, Inventory &amp; documents</t>
        </is>
      </c>
      <c r="C9" s="39" t="inlineStr">
        <is>
          <t>Raise an enquiry and ask suppliers</t>
        </is>
      </c>
      <c r="D9" s="38" t="inlineStr">
        <is>
          <t>1. Open Enquiries &amp; Quotes and click Raise an enquiry for the cable and glands.
2. Click Ask suppliers and tick Emirates Cable Trading LLC, Al Masaood Industrial Supplies and Gulf Pipe &amp; Fittings FZE.</t>
        </is>
      </c>
      <c r="E9" s="38" t="inlineStr">
        <is>
          <t>There is no price box on the enquiry. All three suppliers appear as columns on the comparison sheet.</t>
        </is>
      </c>
      <c r="F9" s="40" t="inlineStr"/>
      <c r="G9" s="41" t="n"/>
      <c r="H9" s="41" t="n"/>
      <c r="I9" s="41" t="n"/>
      <c r="J9" s="41" t="n"/>
      <c r="K9" s="42" t="n"/>
    </row>
    <row r="10" ht="73.5" customHeight="1">
      <c r="A10" s="37" t="inlineStr">
        <is>
          <t>PRC-03</t>
        </is>
      </c>
      <c r="B10" s="38" t="inlineStr">
        <is>
          <t>CRM, Inventory &amp; documents</t>
        </is>
      </c>
      <c r="C10" s="39" t="inlineStr">
        <is>
          <t>Print the enquiry for each supplier</t>
        </is>
      </c>
      <c r="D10" s="38" t="inlineStr">
        <is>
          <t>1. Click Enquiry under one supplier's name. Then click Print → blank enquiry at the top.</t>
        </is>
      </c>
      <c r="E10" s="38" t="inlineStr">
        <is>
          <t>The addressed PDF shows that supplier's name and contact, quantities only, and empty columns for their price, delivery charge, delivery time and validity. The blank copy has an empty To box. Neither shows any price.</t>
        </is>
      </c>
      <c r="F10" s="40" t="inlineStr"/>
      <c r="G10" s="41" t="n"/>
      <c r="H10" s="41" t="n"/>
      <c r="I10" s="41" t="n"/>
      <c r="J10" s="41" t="n"/>
      <c r="K10" s="42" t="n"/>
    </row>
    <row r="11" ht="46.5" customHeight="1">
      <c r="A11" s="37" t="inlineStr">
        <is>
          <t>PRC-04</t>
        </is>
      </c>
      <c r="B11" s="38" t="inlineStr">
        <is>
          <t>CRM, Inventory &amp; documents</t>
        </is>
      </c>
      <c r="C11" s="39" t="inlineStr">
        <is>
          <t>Award needs three suppliers asked</t>
        </is>
      </c>
      <c r="D11" s="38" t="inlineStr">
        <is>
          <t>1. On an enquiry with only two suppliers asked, enter a price for one and try to Award.</t>
        </is>
      </c>
      <c r="E11" s="38" t="inlineStr">
        <is>
          <t>Award is not possible, and the screen says three suppliers must be asked first.</t>
        </is>
      </c>
      <c r="F11" s="40" t="inlineStr"/>
      <c r="G11" s="41" t="n"/>
      <c r="H11" s="41" t="n"/>
      <c r="I11" s="41" t="n"/>
      <c r="J11" s="41" t="n"/>
      <c r="K11" s="42" t="n"/>
    </row>
    <row r="12" ht="60" customHeight="1">
      <c r="A12" s="37" t="inlineStr">
        <is>
          <t>PRC-05</t>
        </is>
      </c>
      <c r="B12" s="38" t="inlineStr">
        <is>
          <t>CRM, Inventory &amp; documents</t>
        </is>
      </c>
      <c r="C12" s="39" t="inlineStr">
        <is>
          <t>Compare quotations</t>
        </is>
      </c>
      <c r="D12" s="38" t="inlineStr">
        <is>
          <t>1. Enter prices for two of the three suppliers, including carriage, lead time and validity. Leave the third without a reply.</t>
        </is>
      </c>
      <c r="E12" s="38" t="inlineStr">
        <is>
          <t>The cheapest price on each line is marked green, which may be a different supplier from the cheapest total. The supplier who did not reply keeps a greyed column.</t>
        </is>
      </c>
      <c r="F12" s="40" t="inlineStr"/>
      <c r="G12" s="41" t="n"/>
      <c r="H12" s="41" t="n"/>
      <c r="I12" s="41" t="n"/>
      <c r="J12" s="41" t="n"/>
      <c r="K12" s="42" t="n"/>
    </row>
    <row r="13" ht="60" customHeight="1">
      <c r="A13" s="37" t="inlineStr">
        <is>
          <t>PRC-06</t>
        </is>
      </c>
      <c r="B13" s="38" t="inlineStr">
        <is>
          <t>CRM, Inventory &amp; documents</t>
        </is>
      </c>
      <c r="C13" s="39" t="inlineStr">
        <is>
          <t>Award to a supplier who is not the cheapest</t>
        </is>
      </c>
      <c r="D13" s="38" t="inlineStr">
        <is>
          <t>1. Click Award and choose the more expensive supplier.</t>
        </is>
      </c>
      <c r="E13" s="38" t="inlineStr">
        <is>
          <t>You must give a reason, and the extra cost is shown while you type. A draft purchase order is raised at that supplier's prices. The enquiry becomes Awarded and its PDF says CLOSED.</t>
        </is>
      </c>
      <c r="F13" s="40" t="inlineStr"/>
      <c r="G13" s="41" t="n"/>
      <c r="H13" s="41" t="n"/>
      <c r="I13" s="41" t="n"/>
      <c r="J13" s="41" t="n"/>
      <c r="K13" s="42" t="n"/>
    </row>
    <row r="14" ht="46.5" customHeight="1">
      <c r="A14" s="37" t="inlineStr">
        <is>
          <t>PRC-07</t>
        </is>
      </c>
      <c r="B14" s="38" t="inlineStr">
        <is>
          <t>CRM, Inventory &amp; documents</t>
        </is>
      </c>
      <c r="C14" s="39" t="inlineStr">
        <is>
          <t>Check and send the order for approval</t>
        </is>
      </c>
      <c r="D14" s="38" t="inlineStr">
        <is>
          <t>1. Open Purchase Orders and find the draft order raised by the award.
2. Click Print, then Send for approval.</t>
        </is>
      </c>
      <c r="E14" s="38" t="inlineStr">
        <is>
          <t>The draft PDF says DRAFT. After sending it is Awaiting approval, the PDF says NOT APPROVED, and there is no Record delivery button yet.</t>
        </is>
      </c>
      <c r="F14" s="40" t="inlineStr"/>
      <c r="G14" s="41" t="n"/>
      <c r="H14" s="41" t="n"/>
      <c r="I14" s="41" t="n"/>
      <c r="J14" s="41" t="n"/>
      <c r="K14" s="42" t="n"/>
    </row>
    <row r="15" ht="87" customHeight="1">
      <c r="A15" s="37" t="inlineStr">
        <is>
          <t>PRC-08</t>
        </is>
      </c>
      <c r="B15" s="38" t="inlineStr">
        <is>
          <t>CRM, Inventory &amp; documents</t>
        </is>
      </c>
      <c r="C15" s="39" t="inlineStr">
        <is>
          <t>The approved order as the supplier receives it</t>
        </is>
      </c>
      <c r="D15" s="38" t="inlineStr">
        <is>
          <t>1. After approval, click Print on the order.</t>
        </is>
      </c>
      <c r="E15" s="38" t="inlineStr">
        <is>
          <t>The PDF has no mark across it. It shows the supplier with contact, deliver-to store, job, lines with unit price and amount, order total excluding VAT with the amount in words, your purchase order terms, and raised by / approved by with the approval date.</t>
        </is>
      </c>
      <c r="F15" s="40" t="inlineStr">
        <is>
          <t>Needs APR-02.</t>
        </is>
      </c>
      <c r="G15" s="41" t="n"/>
      <c r="H15" s="41" t="n"/>
      <c r="I15" s="41" t="n"/>
      <c r="J15" s="41" t="n"/>
      <c r="K15" s="42" t="n"/>
    </row>
    <row r="16" ht="46.5" customHeight="1">
      <c r="A16" s="37" t="inlineStr">
        <is>
          <t>PRC-09</t>
        </is>
      </c>
      <c r="B16" s="38" t="inlineStr">
        <is>
          <t>CRM, Inventory &amp; documents</t>
        </is>
      </c>
      <c r="C16" s="39" t="inlineStr">
        <is>
          <t>Raise an order straight from a request</t>
        </is>
      </c>
      <c r="D16" s="38" t="inlineStr">
        <is>
          <t>1. On an approved material request click Raise an order.</t>
        </is>
      </c>
      <c r="E16" s="38" t="inlineStr">
        <is>
          <t>The order form opens with the request's job, store and lines already filled in.</t>
        </is>
      </c>
      <c r="F16" s="40" t="inlineStr"/>
      <c r="G16" s="41" t="n"/>
      <c r="H16" s="41" t="n"/>
      <c r="I16" s="41" t="n"/>
      <c r="J16" s="41" t="n"/>
      <c r="K16" s="42" t="n"/>
    </row>
    <row r="17" ht="73.5" customHeight="1">
      <c r="A17" s="37" t="inlineStr">
        <is>
          <t>PRC-10</t>
        </is>
      </c>
      <c r="B17" s="38" t="inlineStr">
        <is>
          <t>CRM, Inventory &amp; documents</t>
        </is>
      </c>
      <c r="C17" s="39" t="inlineStr">
        <is>
          <t>Read supplier performance</t>
        </is>
      </c>
      <c r="D17" s="38" t="inlineStr">
        <is>
          <t>1. Open Supplier Performance.</t>
        </is>
      </c>
      <c r="E17" s="38" t="inlineStr">
        <is>
          <t>Each supplier shows on-time-in-full, rejections, replies and price, each with how many orders or inspections it is out of. Where there are too few, it says so rather than showing a percentage.</t>
        </is>
      </c>
      <c r="F17" s="40" t="inlineStr"/>
      <c r="G17" s="41" t="n"/>
      <c r="H17" s="41" t="n"/>
      <c r="I17" s="41" t="n"/>
      <c r="J17" s="41" t="n"/>
      <c r="K17" s="42" t="n"/>
    </row>
    <row r="18" ht="154.5" customHeight="1">
      <c r="A18" s="37" t="inlineStr">
        <is>
          <t>PRC-11</t>
        </is>
      </c>
      <c r="B18" s="38" t="inlineStr">
        <is>
          <t>Finance &amp; HR</t>
        </is>
      </c>
      <c r="C18" s="39" t="inlineStr">
        <is>
          <t>Order work that never arrives in a store</t>
        </is>
      </c>
      <c r="D18" s="38" t="inlineStr">
        <is>
          <t>1. Open Items and add the PRO company’s services — for example “PRO — new employment visa” — with “Keep stock of this” UNTICKED.
2. Check the PRO company is already in Customers &amp; Suppliers. Only Accounts can add one — ask them first if it is missing (FIN-09).
3. Raise a purchase order to them: 3 new visas and 2 labour card renewals at the agreed rates. Send it for approval.
4. Open Stock on Hand and search for the service you added.</t>
        </is>
      </c>
      <c r="E18" s="38" t="inlineStr">
        <is>
          <t>The order is raised and goes to Project Manager → Operations Manager → Director like any other. The service does not appear on Stock on Hand at all — it is not on a shelf, and it never pretends to be.</t>
        </is>
      </c>
      <c r="F18" s="40" t="inlineStr">
        <is>
          <t>The same applies to equipment hire, subcontract labour, consultancy and camp catering.</t>
        </is>
      </c>
      <c r="G18" s="41" t="n"/>
      <c r="H18" s="41" t="n"/>
      <c r="I18" s="41" t="n"/>
      <c r="J18" s="41" t="n"/>
      <c r="K18" s="42" t="n"/>
    </row>
    <row r="19" ht="100.5" customHeight="1">
      <c r="A19" s="37" t="inlineStr">
        <is>
          <t>PRC-12</t>
        </is>
      </c>
      <c r="B19" s="38" t="inlineStr">
        <is>
          <t>Finance &amp; HR</t>
        </is>
      </c>
      <c r="C19" s="39" t="inlineStr">
        <is>
          <t>Close it when the work is done</t>
        </is>
      </c>
      <c r="D19" s="38" t="inlineStr">
        <is>
          <t>1. Once the order is approved, open it and click “Mark work as delivered”.
2. Read the order’s notes.
3. Open the Stores Dashboard.
4. Look at an ordinary material order that has stock on it.</t>
        </is>
      </c>
      <c r="E19" s="38" t="inlineStr">
        <is>
          <t>The order becomes Received, and its notes say who confirmed the work and on what date — there is no delivery note, so that sentence is the evidence. It leaves “Orders to receive” on the dashboard. On a material order the button is not offered at all: that material still has to be received into a store.</t>
        </is>
      </c>
      <c r="F19" s="40" t="inlineStr">
        <is>
          <t>Needs PRC-11.</t>
        </is>
      </c>
      <c r="G19" s="41" t="n"/>
      <c r="H19" s="41" t="n"/>
      <c r="I19" s="41" t="n"/>
      <c r="J19" s="41" t="n"/>
      <c r="K19" s="42" t="n"/>
    </row>
  </sheetData>
  <autoFilter ref="A7:K19"/>
  <mergeCells count="2">
    <mergeCell ref="A3:F3"/>
    <mergeCell ref="C4:D4"/>
  </mergeCells>
  <conditionalFormatting sqref="G8:G19">
    <cfRule type="expression" priority="1" dxfId="2">
      <formula>$G8="Pass"</formula>
    </cfRule>
    <cfRule type="expression" priority="2" dxfId="0">
      <formula>$G8="Fail"</formula>
    </cfRule>
    <cfRule type="expression" priority="3" dxfId="1">
      <formula>$G8="Blocked"</formula>
    </cfRule>
  </conditionalFormatting>
  <conditionalFormatting sqref="H8:I19">
    <cfRule type="expression" priority="4" dxfId="3">
      <formula>AND(OR($G8="Fail",$G8="Blocked"),H8="")</formula>
    </cfRule>
  </conditionalFormatting>
  <dataValidations count="3">
    <dataValidation sqref="G8:G19" showDropDown="0" showInputMessage="0" showErrorMessage="1" allowBlank="1" errorTitle="Result" error="Choose Pass, Fail, Blocked or Not run." type="list">
      <formula1>"Pass,Fail,Blocked,Not run"</formula1>
    </dataValidation>
    <dataValidation sqref="H8:H19" showDropDown="0" showInputMessage="0" showErrorMessage="1" allowBlank="1" errorTitle="Severity" error="Choose Critical, Major, Minor or Suggestion." type="list">
      <formula1>"Critical,Major,Minor,Suggestion"</formula1>
    </dataValidation>
    <dataValidation sqref="K8:K19"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Procurement&amp;RPage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9"/>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Storekeeper</t>
        </is>
      </c>
    </row>
    <row r="2">
      <c r="A2" s="29" t="inlineStr">
        <is>
          <t>Sign in as:</t>
        </is>
      </c>
      <c r="C2" s="30" t="inlineStr">
        <is>
          <t>Storekeeper</t>
        </is>
      </c>
    </row>
    <row r="3" ht="30" customHeight="1">
      <c r="A3" s="33" t="inlineStr">
        <is>
          <t>Receives deliveries against orders, issues material to jobs, moves it between stores, and takes back what returns from site.</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60" customHeight="1">
      <c r="A8" s="37" t="inlineStr">
        <is>
          <t>STR-01</t>
        </is>
      </c>
      <c r="B8" s="38" t="inlineStr">
        <is>
          <t>CRM, Inventory &amp; documents</t>
        </is>
      </c>
      <c r="C8" s="39" t="inlineStr">
        <is>
          <t>Receive a delivery against an approved order</t>
        </is>
      </c>
      <c r="D8" s="38" t="inlineStr">
        <is>
          <t>1. Open Purchase Orders, find the approved order and click Record delivery on the cable line.
2. Enter 200 of the 300 metres, store T-MAIN, bin A-01, and the supplier's delivery note number.</t>
        </is>
      </c>
      <c r="E8" s="38" t="inlineStr">
        <is>
          <t>The line shows 200 arrived and 100 outstanding. The order becomes Partly received on its own.</t>
        </is>
      </c>
      <c r="F8" s="40" t="inlineStr">
        <is>
          <t>Needs APR-02.</t>
        </is>
      </c>
      <c r="G8" s="41" t="n"/>
      <c r="H8" s="41" t="n"/>
      <c r="I8" s="41" t="n"/>
      <c r="J8" s="41" t="n"/>
      <c r="K8" s="42" t="n"/>
    </row>
    <row r="9" ht="46.5" customHeight="1">
      <c r="A9" s="37" t="inlineStr">
        <is>
          <t>STR-02</t>
        </is>
      </c>
      <c r="B9" s="38" t="inlineStr">
        <is>
          <t>CRM, Inventory &amp; documents</t>
        </is>
      </c>
      <c r="C9" s="39" t="inlineStr">
        <is>
          <t>A binned store needs a bin</t>
        </is>
      </c>
      <c r="D9" s="38" t="inlineStr">
        <is>
          <t>1. Record another delivery into T-MAIN without choosing a bin.</t>
        </is>
      </c>
      <c r="E9" s="38" t="inlineStr">
        <is>
          <t>It is refused until a bin is chosen.</t>
        </is>
      </c>
      <c r="F9" s="40" t="inlineStr"/>
      <c r="G9" s="41" t="n"/>
      <c r="H9" s="41" t="n"/>
      <c r="I9" s="41" t="n"/>
      <c r="J9" s="41" t="n"/>
      <c r="K9" s="42" t="n"/>
    </row>
    <row r="10" ht="87" customHeight="1">
      <c r="A10" s="37" t="inlineStr">
        <is>
          <t>STR-03</t>
        </is>
      </c>
      <c r="B10" s="38" t="inlineStr">
        <is>
          <t>CRM, Inventory &amp; documents</t>
        </is>
      </c>
      <c r="C10" s="39" t="inlineStr">
        <is>
          <t>Print the goods received note</t>
        </is>
      </c>
      <c r="D10" s="38" t="inlineStr">
        <is>
          <t>1. Open Receive &amp; Issue and click Note beside the delivery's reference.</t>
        </is>
      </c>
      <c r="E10" s="38" t="inlineStr">
        <is>
          <t>A GOODS RECEIVED NOTE shows the supplier, the store, every item received on that delivery note that day with bin and quantity, the purchase order number, the inspection status, and signature boxes for store, QA/QC and driver. It shows no prices.</t>
        </is>
      </c>
      <c r="F10" s="40" t="inlineStr"/>
      <c r="G10" s="41" t="n"/>
      <c r="H10" s="41" t="n"/>
      <c r="I10" s="41" t="n"/>
      <c r="J10" s="41" t="n"/>
      <c r="K10" s="42" t="n"/>
    </row>
    <row r="11" ht="46.5" customHeight="1">
      <c r="A11" s="37" t="inlineStr">
        <is>
          <t>STR-04</t>
        </is>
      </c>
      <c r="B11" s="38" t="inlineStr">
        <is>
          <t>CRM, Inventory &amp; documents</t>
        </is>
      </c>
      <c r="C11" s="39" t="inlineStr">
        <is>
          <t>Material waiting for inspection cannot be issued</t>
        </is>
      </c>
      <c r="D11" s="38" t="inlineStr">
        <is>
          <t>1. Before QA/QC has inspected, try to issue the delivered cable to a job from Receive &amp; Issue.</t>
        </is>
      </c>
      <c r="E11" s="38" t="inlineStr">
        <is>
          <t>Refused. The message says how much can be issued and how much is on the shelf waiting on inspection.</t>
        </is>
      </c>
      <c r="F11" s="40" t="inlineStr"/>
      <c r="G11" s="41" t="n"/>
      <c r="H11" s="41" t="n"/>
      <c r="I11" s="41" t="n"/>
      <c r="J11" s="41" t="n"/>
      <c r="K11" s="42" t="n"/>
    </row>
    <row r="12" ht="46.5" customHeight="1">
      <c r="A12" s="37" t="inlineStr">
        <is>
          <t>STR-05</t>
        </is>
      </c>
      <c r="B12" s="38" t="inlineStr">
        <is>
          <t>CRM, Inventory &amp; documents</t>
        </is>
      </c>
      <c r="C12" s="39" t="inlineStr">
        <is>
          <t>Issue material to a job</t>
        </is>
      </c>
      <c r="D12" s="38" t="inlineStr">
        <is>
          <t>1. After QA/QC passes the cable, record an Issue of 150 metres from T-MAIN, bin A-01, to the job.
2. Try another issue without choosing a job.</t>
        </is>
      </c>
      <c r="E12" s="38" t="inlineStr">
        <is>
          <t>The issue is saved and priced from the shelf, not typed. The one with no job is refused because it would put the cost on nothing.</t>
        </is>
      </c>
      <c r="F12" s="40" t="inlineStr">
        <is>
          <t>Needs QA-01.</t>
        </is>
      </c>
      <c r="G12" s="41" t="n"/>
      <c r="H12" s="41" t="n"/>
      <c r="I12" s="41" t="n"/>
      <c r="J12" s="41" t="n"/>
      <c r="K12" s="42" t="n"/>
    </row>
    <row r="13" ht="60" customHeight="1">
      <c r="A13" s="37" t="inlineStr">
        <is>
          <t>STR-06</t>
        </is>
      </c>
      <c r="B13" s="38" t="inlineStr">
        <is>
          <t>CRM, Inventory &amp; documents</t>
        </is>
      </c>
      <c r="C13" s="39" t="inlineStr">
        <is>
          <t>Print the issue note</t>
        </is>
      </c>
      <c r="D13" s="38" t="inlineStr">
        <is>
          <t>1. Click Note beside the issue.</t>
        </is>
      </c>
      <c r="E13" s="38" t="inlineStr">
        <is>
          <t>A MATERIAL ISSUE NOTE shows the store, the job it was issued to, the items with value at cost and the total, and signatures for issued by, received by (site) and checked by.</t>
        </is>
      </c>
      <c r="F13" s="40" t="inlineStr"/>
      <c r="G13" s="41" t="n"/>
      <c r="H13" s="41" t="n"/>
      <c r="I13" s="41" t="n"/>
      <c r="J13" s="41" t="n"/>
      <c r="K13" s="42" t="n"/>
    </row>
    <row r="14" ht="46.5" customHeight="1">
      <c r="A14" s="37" t="inlineStr">
        <is>
          <t>STR-07</t>
        </is>
      </c>
      <c r="B14" s="38" t="inlineStr">
        <is>
          <t>CRM, Inventory &amp; documents</t>
        </is>
      </c>
      <c r="C14" s="39" t="inlineStr">
        <is>
          <t>Move stock between stores</t>
        </is>
      </c>
      <c r="D14" s="38" t="inlineStr">
        <is>
          <t>1. Record a Transfer of glands from T-MAIN (bin B-01) to T-SITE1 (bin S-01).
2. Click Note beside it.</t>
        </is>
      </c>
      <c r="E14" s="38" t="inlineStr">
        <is>
          <t>Stock on Hand shows the glands moved. Nothing is posted to the accounts. A STOCK TRANSFER NOTE shows both stores.</t>
        </is>
      </c>
      <c r="F14" s="40" t="inlineStr"/>
      <c r="G14" s="41" t="n"/>
      <c r="H14" s="41" t="n"/>
      <c r="I14" s="41" t="n"/>
      <c r="J14" s="41" t="n"/>
      <c r="K14" s="42" t="n"/>
    </row>
    <row r="15" ht="46.5" customHeight="1">
      <c r="A15" s="37" t="inlineStr">
        <is>
          <t>STR-08</t>
        </is>
      </c>
      <c r="B15" s="38" t="inlineStr">
        <is>
          <t>CRM, Inventory &amp; documents</t>
        </is>
      </c>
      <c r="C15" s="39" t="inlineStr">
        <is>
          <t>Cannot issue what is not there</t>
        </is>
      </c>
      <c r="D15" s="38" t="inlineStr">
        <is>
          <t>1. Try to issue an item from a store that holds none of it.</t>
        </is>
      </c>
      <c r="E15" s="38" t="inlineStr">
        <is>
          <t>Refused, saying there is none in this store and to receive it first or issue from the store that has it.</t>
        </is>
      </c>
      <c r="F15" s="40" t="inlineStr"/>
      <c r="G15" s="41" t="n"/>
      <c r="H15" s="41" t="n"/>
      <c r="I15" s="41" t="n"/>
      <c r="J15" s="41" t="n"/>
      <c r="K15" s="42" t="n"/>
    </row>
    <row r="16" ht="100.5" customHeight="1">
      <c r="A16" s="37" t="inlineStr">
        <is>
          <t>STR-09</t>
        </is>
      </c>
      <c r="B16" s="38" t="inlineStr">
        <is>
          <t>CRM, Inventory &amp; documents</t>
        </is>
      </c>
      <c r="C16" s="39" t="inlineStr">
        <is>
          <t>Take material back from site</t>
        </is>
      </c>
      <c r="D16" s="38" t="inlineStr">
        <is>
          <t>1. Open Returns from Site and click Record a return for the job.
2. Add the cable twice: 40 metres Reusable and 10 metres Scrap.
3. Read the sentence at the bottom, then save and post it.
4. Try a return of more than the job has out.</t>
        </is>
      </c>
      <c r="E16" s="38" t="inlineStr">
        <is>
          <t>The sentence says how much goes back on the shelf and what the job is credited; scrap credits nothing. Returning more than the job has out is refused.</t>
        </is>
      </c>
      <c r="F16" s="40" t="inlineStr"/>
      <c r="G16" s="41" t="n"/>
      <c r="H16" s="41" t="n"/>
      <c r="I16" s="41" t="n"/>
      <c r="J16" s="41" t="n"/>
      <c r="K16" s="42" t="n"/>
    </row>
    <row r="17" ht="60" customHeight="1">
      <c r="A17" s="37" t="inlineStr">
        <is>
          <t>STR-10</t>
        </is>
      </c>
      <c r="B17" s="38" t="inlineStr">
        <is>
          <t>CRM, Inventory &amp; documents</t>
        </is>
      </c>
      <c r="C17" s="39" t="inlineStr">
        <is>
          <t>Print the return note</t>
        </is>
      </c>
      <c r="D17" s="38" t="inlineStr">
        <is>
          <t>1. Click Note beside the return.</t>
        </is>
      </c>
      <c r="E17" s="38" t="inlineStr">
        <is>
          <t>A MATERIAL RETURN NOTE lists reusable and scrap in separate tables and states the credit to the job once posted. A draft says DRAFT and that nothing has been credited.</t>
        </is>
      </c>
      <c r="F17" s="40" t="inlineStr"/>
      <c r="G17" s="41" t="n"/>
      <c r="H17" s="41" t="n"/>
      <c r="I17" s="41" t="n"/>
      <c r="J17" s="41" t="n"/>
      <c r="K17" s="42" t="n"/>
    </row>
    <row r="18" ht="60" customHeight="1">
      <c r="A18" s="37" t="inlineStr">
        <is>
          <t>STR-11</t>
        </is>
      </c>
      <c r="B18" s="38" t="inlineStr">
        <is>
          <t>CRM, Inventory &amp; documents</t>
        </is>
      </c>
      <c r="C18" s="39" t="inlineStr">
        <is>
          <t>Stock on hand and its value</t>
        </is>
      </c>
      <c r="D18" s="38" t="inlineStr">
        <is>
          <t>1. Open Stock on Hand and look at T-CBL-4C16 in T-MAIN.</t>
        </is>
      </c>
      <c r="E18" s="38" t="inlineStr">
        <is>
          <t>The quantity equals received minus issued plus reusable returns. Anything at or below its reorder level is highlighted. No balance is negative.</t>
        </is>
      </c>
      <c r="F18" s="40" t="inlineStr"/>
      <c r="G18" s="41" t="n"/>
      <c r="H18" s="41" t="n"/>
      <c r="I18" s="41" t="n"/>
      <c r="J18" s="41" t="n"/>
      <c r="K18" s="42" t="n"/>
    </row>
    <row r="19" ht="60" customHeight="1">
      <c r="A19" s="37" t="inlineStr">
        <is>
          <t>STR-12</t>
        </is>
      </c>
      <c r="B19" s="38" t="inlineStr">
        <is>
          <t>CRM, Inventory &amp; documents</t>
        </is>
      </c>
      <c r="C19" s="39" t="inlineStr">
        <is>
          <t>The stores dashboard shows what is running low</t>
        </is>
      </c>
      <c r="D19" s="38" t="inlineStr">
        <is>
          <t>1. Open an item and set its reorder level above what is on hand. Save.
2. Click Inventory &amp; SCM in the menu to open the Stores Dashboard.</t>
        </is>
      </c>
      <c r="E19" s="38" t="inlineStr">
        <is>
          <t>Running low counts that item, and it is listed with what is on hand against its reorder level, the lowest first. Stock value by store adds up to the total on the Stock on Hand screen.</t>
        </is>
      </c>
      <c r="F19" s="40" t="inlineStr"/>
      <c r="G19" s="41" t="n"/>
      <c r="H19" s="41" t="n"/>
      <c r="I19" s="41" t="n"/>
      <c r="J19" s="41" t="n"/>
      <c r="K19" s="42" t="n"/>
    </row>
  </sheetData>
  <autoFilter ref="A7:K19"/>
  <mergeCells count="2">
    <mergeCell ref="A3:F3"/>
    <mergeCell ref="C4:D4"/>
  </mergeCells>
  <conditionalFormatting sqref="G8:G19">
    <cfRule type="expression" priority="1" dxfId="2">
      <formula>$G8="Pass"</formula>
    </cfRule>
    <cfRule type="expression" priority="2" dxfId="0">
      <formula>$G8="Fail"</formula>
    </cfRule>
    <cfRule type="expression" priority="3" dxfId="1">
      <formula>$G8="Blocked"</formula>
    </cfRule>
  </conditionalFormatting>
  <conditionalFormatting sqref="H8:I19">
    <cfRule type="expression" priority="4" dxfId="3">
      <formula>AND(OR($G8="Fail",$G8="Blocked"),H8="")</formula>
    </cfRule>
  </conditionalFormatting>
  <dataValidations count="3">
    <dataValidation sqref="G8:G19" showDropDown="0" showInputMessage="0" showErrorMessage="1" allowBlank="1" errorTitle="Result" error="Choose Pass, Fail, Blocked or Not run." type="list">
      <formula1>"Pass,Fail,Blocked,Not run"</formula1>
    </dataValidation>
    <dataValidation sqref="H8:H19" showDropDown="0" showInputMessage="0" showErrorMessage="1" allowBlank="1" errorTitle="Severity" error="Choose Critical, Major, Minor or Suggestion." type="list">
      <formula1>"Critical,Major,Minor,Suggestion"</formula1>
    </dataValidation>
    <dataValidation sqref="K8:K19"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Storekeeper&amp;RPage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11"/>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QA/QC &amp; Calibration</t>
        </is>
      </c>
    </row>
    <row r="2">
      <c r="A2" s="29" t="inlineStr">
        <is>
          <t>Sign in as:</t>
        </is>
      </c>
      <c r="C2" s="30" t="inlineStr">
        <is>
          <t>QA/QC &amp; Calibration</t>
        </is>
      </c>
    </row>
    <row r="3" ht="30" customHeight="1">
      <c r="A3" s="33" t="inlineStr">
        <is>
          <t>Passes or fails deliveries that need inspection, and keeps calibrated equipment in date.</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60" customHeight="1">
      <c r="A8" s="37" t="inlineStr">
        <is>
          <t>QA-01</t>
        </is>
      </c>
      <c r="B8" s="38" t="inlineStr">
        <is>
          <t>CRM, Inventory &amp; documents</t>
        </is>
      </c>
      <c r="C8" s="39" t="inlineStr">
        <is>
          <t>Pass a delivery</t>
        </is>
      </c>
      <c r="D8" s="38" t="inlineStr">
        <is>
          <t>1. Open Receive &amp; Issue, find the delivery showing Pending, click Inspect.
2. Pass it and record the certificate number in the notes.</t>
        </is>
      </c>
      <c r="E8" s="38" t="inlineStr">
        <is>
          <t>It shows Accepted and the material becomes free to issue straight away.</t>
        </is>
      </c>
      <c r="F8" s="40" t="inlineStr">
        <is>
          <t>Needs STR-01, on an item set to need inspection.</t>
        </is>
      </c>
      <c r="G8" s="41" t="n"/>
      <c r="H8" s="41" t="n"/>
      <c r="I8" s="41" t="n"/>
      <c r="J8" s="41" t="n"/>
      <c r="K8" s="42" t="n"/>
    </row>
    <row r="9" ht="46.5" customHeight="1">
      <c r="A9" s="37" t="inlineStr">
        <is>
          <t>QA-02</t>
        </is>
      </c>
      <c r="B9" s="38" t="inlineStr">
        <is>
          <t>CRM, Inventory &amp; documents</t>
        </is>
      </c>
      <c r="C9" s="39" t="inlineStr">
        <is>
          <t>Fail a delivery</t>
        </is>
      </c>
      <c r="D9" s="38" t="inlineStr">
        <is>
          <t>1. Inspect another pending delivery and fail it.</t>
        </is>
      </c>
      <c r="E9" s="38" t="inlineStr">
        <is>
          <t>It shows Rejected. It stays on the shelf and in stock value but cannot be issued. The inspection cannot be changed afterwards.</t>
        </is>
      </c>
      <c r="F9" s="40" t="inlineStr"/>
      <c r="G9" s="41" t="n"/>
      <c r="H9" s="41" t="n"/>
      <c r="I9" s="41" t="n"/>
      <c r="J9" s="41" t="n"/>
      <c r="K9" s="42" t="n"/>
    </row>
    <row r="10" ht="60" customHeight="1">
      <c r="A10" s="37" t="inlineStr">
        <is>
          <t>QA-03</t>
        </is>
      </c>
      <c r="B10" s="38" t="inlineStr">
        <is>
          <t>CRM, Inventory &amp; documents</t>
        </is>
      </c>
      <c r="C10" s="39" t="inlineStr">
        <is>
          <t>Record a calibration</t>
        </is>
      </c>
      <c r="D10" s="38" t="inlineStr">
        <is>
          <t>1. Open Equipment &amp; Calibration and click Calibrate on the torque wrench.
2. Enter a calibration date last month, the result and the certificate number.</t>
        </is>
      </c>
      <c r="E10" s="38" t="inlineStr">
        <is>
          <t>The expiry date is worked out from the calibration date, not from today. The sentence at the top updates.</t>
        </is>
      </c>
      <c r="F10" s="40" t="inlineStr"/>
      <c r="G10" s="41" t="n"/>
      <c r="H10" s="41" t="n"/>
      <c r="I10" s="41" t="n"/>
      <c r="J10" s="41" t="n"/>
      <c r="K10" s="42" t="n"/>
    </row>
    <row r="11" ht="87" customHeight="1">
      <c r="A11" s="37" t="inlineStr">
        <is>
          <t>QA-04</t>
        </is>
      </c>
      <c r="B11" s="38" t="inlineStr">
        <is>
          <t>CRM, Inventory &amp; documents</t>
        </is>
      </c>
      <c r="C11" s="39" t="inlineStr">
        <is>
          <t>Out-of-calibration equipment cannot go to a job</t>
        </is>
      </c>
      <c r="D11" s="38" t="inlineStr">
        <is>
          <t>1. On Equipment &amp; Calibration, edit a tool that needs calibration and set its status to Out for calibration (or give it a calibration that has already expired).
2. In the same form, choose a job under On job, and save.</t>
        </is>
      </c>
      <c r="E11" s="38" t="inlineStr">
        <is>
          <t>Refused, with the reason — away for calibration, or calibration expired. The same tool in date and In service can be put on the job.</t>
        </is>
      </c>
      <c r="F11" s="40" t="inlineStr"/>
      <c r="G11" s="41" t="n"/>
      <c r="H11" s="41" t="n"/>
      <c r="I11" s="41" t="n"/>
      <c r="J11" s="41" t="n"/>
      <c r="K11" s="42" t="n"/>
    </row>
  </sheetData>
  <autoFilter ref="A7:K11"/>
  <mergeCells count="2">
    <mergeCell ref="A3:F3"/>
    <mergeCell ref="C4:D4"/>
  </mergeCells>
  <conditionalFormatting sqref="G8:G11">
    <cfRule type="expression" priority="1" dxfId="2">
      <formula>$G8="Pass"</formula>
    </cfRule>
    <cfRule type="expression" priority="2" dxfId="0">
      <formula>$G8="Fail"</formula>
    </cfRule>
    <cfRule type="expression" priority="3" dxfId="1">
      <formula>$G8="Blocked"</formula>
    </cfRule>
  </conditionalFormatting>
  <conditionalFormatting sqref="H8:I11">
    <cfRule type="expression" priority="4" dxfId="3">
      <formula>AND(OR($G8="Fail",$G8="Blocked"),H8="")</formula>
    </cfRule>
  </conditionalFormatting>
  <dataValidations count="3">
    <dataValidation sqref="G8:G11" showDropDown="0" showInputMessage="0" showErrorMessage="1" allowBlank="1" errorTitle="Result" error="Choose Pass, Fail, Blocked or Not run." type="list">
      <formula1>"Pass,Fail,Blocked,Not run"</formula1>
    </dataValidation>
    <dataValidation sqref="H8:H11" showDropDown="0" showInputMessage="0" showErrorMessage="1" allowBlank="1" errorTitle="Severity" error="Choose Critical, Major, Minor or Suggestion." type="list">
      <formula1>"Critical,Major,Minor,Suggestion"</formula1>
    </dataValidation>
    <dataValidation sqref="K8:K11"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QA-QC &amp; Calibration&amp;RPage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16"/>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Accounts</t>
        </is>
      </c>
    </row>
    <row r="2">
      <c r="A2" s="29" t="inlineStr">
        <is>
          <t>Sign in as:</t>
        </is>
      </c>
      <c r="C2" s="30" t="inlineStr">
        <is>
          <t>Finance / Accounts</t>
        </is>
      </c>
    </row>
    <row r="3" ht="30" customHeight="1">
      <c r="A3" s="33" t="inlineStr">
        <is>
          <t>Invoices customers, records supplier bills, and checks that stores and payroll reach the books correctly.</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73.5" customHeight="1">
      <c r="A8" s="37" t="inlineStr">
        <is>
          <t>FIN-01</t>
        </is>
      </c>
      <c r="B8" s="38" t="inlineStr">
        <is>
          <t>Finance &amp; HR</t>
        </is>
      </c>
      <c r="C8" s="39" t="inlineStr">
        <is>
          <t>Draft a tax invoice and print the draft</t>
        </is>
      </c>
      <c r="D8" s="38" t="inlineStr">
        <is>
          <t>1. Open Finance → Invoices → New invoice. Choose a customer with payment terms.
2. Add two lines with different VAT treatments. Save as draft.
3. Click Print.</t>
        </is>
      </c>
      <c r="E8" s="38" t="inlineStr">
        <is>
          <t>Totals update as you type, split by VAT rate, and the due date comes from the customer's terms. The PDF says DRAFT across the page and “not a valid tax invoice” under the title.</t>
        </is>
      </c>
      <c r="F8" s="40" t="inlineStr"/>
      <c r="G8" s="41" t="n"/>
      <c r="H8" s="41" t="n"/>
      <c r="I8" s="41" t="n"/>
      <c r="J8" s="41" t="n"/>
      <c r="K8" s="42" t="n"/>
    </row>
    <row r="9" ht="87" customHeight="1">
      <c r="A9" s="37" t="inlineStr">
        <is>
          <t>FIN-02</t>
        </is>
      </c>
      <c r="B9" s="38" t="inlineStr">
        <is>
          <t>Finance &amp; HR</t>
        </is>
      </c>
      <c r="C9" s="39" t="inlineStr">
        <is>
          <t>Issue it and print the tax invoice</t>
        </is>
      </c>
      <c r="D9" s="38" t="inlineStr">
        <is>
          <t>1. Click Issue. Then Print.</t>
        </is>
      </c>
      <c r="E9" s="38" t="inlineStr">
        <is>
          <t>The invoice takes the next number with no gap. The PDF is titled TAX INVOICE with no mark across it, shows both TRNs, every line with quantity, rate, net, VAT rate and VAT, VAT by rate in the totals, and the total including VAT in words. It cannot now be edited.</t>
        </is>
      </c>
      <c r="F9" s="40" t="inlineStr"/>
      <c r="G9" s="41" t="n"/>
      <c r="H9" s="41" t="n"/>
      <c r="I9" s="41" t="n"/>
      <c r="J9" s="41" t="n"/>
      <c r="K9" s="42" t="n"/>
    </row>
    <row r="10" ht="46.5" customHeight="1">
      <c r="A10" s="37" t="inlineStr">
        <is>
          <t>FIN-03</t>
        </is>
      </c>
      <c r="B10" s="38" t="inlineStr">
        <is>
          <t>Finance &amp; HR</t>
        </is>
      </c>
      <c r="C10" s="39" t="inlineStr">
        <is>
          <t>Credit note against the invoice</t>
        </is>
      </c>
      <c r="D10" s="38" t="inlineStr">
        <is>
          <t>1. Raise a Credit Note, first without naming the invoice, then naming it. Issue and print.</t>
        </is>
      </c>
      <c r="E10" s="38" t="inlineStr">
        <is>
          <t>Without the invoice it is refused. The PDF is titled CREDIT NOTE and shows which invoice it adjusts and its date.</t>
        </is>
      </c>
      <c r="F10" s="40" t="inlineStr"/>
      <c r="G10" s="41" t="n"/>
      <c r="H10" s="41" t="n"/>
      <c r="I10" s="41" t="n"/>
      <c r="J10" s="41" t="n"/>
      <c r="K10" s="42" t="n"/>
    </row>
    <row r="11" ht="46.5" customHeight="1">
      <c r="A11" s="37" t="inlineStr">
        <is>
          <t>FIN-04</t>
        </is>
      </c>
      <c r="B11" s="38" t="inlineStr">
        <is>
          <t>Finance &amp; HR</t>
        </is>
      </c>
      <c r="C11" s="39" t="inlineStr">
        <is>
          <t>A supplier's bill is not printed as our invoice</t>
        </is>
      </c>
      <c r="D11" s="38" t="inlineStr">
        <is>
          <t>1. Switch to supplier bills and open one.</t>
        </is>
      </c>
      <c r="E11" s="38" t="inlineStr">
        <is>
          <t>There is no Print button to produce it as our tax invoice.</t>
        </is>
      </c>
      <c r="F11" s="40" t="inlineStr"/>
      <c r="G11" s="41" t="n"/>
      <c r="H11" s="41" t="n"/>
      <c r="I11" s="41" t="n"/>
      <c r="J11" s="41" t="n"/>
      <c r="K11" s="42" t="n"/>
    </row>
    <row r="12" ht="46.5" customHeight="1">
      <c r="A12" s="37" t="inlineStr">
        <is>
          <t>FIN-05</t>
        </is>
      </c>
      <c r="B12" s="38" t="inlineStr">
        <is>
          <t>CRM, Inventory &amp; documents</t>
        </is>
      </c>
      <c r="C12" s="39" t="inlineStr">
        <is>
          <t>Material issued to a job reaches job costing</t>
        </is>
      </c>
      <c r="D12" s="38" t="inlineStr">
        <is>
          <t>1. Open Finance → Job Costing for the job the storekeeper issued cable to.</t>
        </is>
      </c>
      <c r="E12" s="38" t="inlineStr">
        <is>
          <t>The material cost includes the issue at its shelf value, less any reusable material returned.</t>
        </is>
      </c>
      <c r="F12" s="40" t="inlineStr">
        <is>
          <t>Needs STR-05 and STR-09.</t>
        </is>
      </c>
      <c r="G12" s="41" t="n"/>
      <c r="H12" s="41" t="n"/>
      <c r="I12" s="41" t="n"/>
      <c r="J12" s="41" t="n"/>
      <c r="K12" s="42" t="n"/>
    </row>
    <row r="13" ht="46.5" customHeight="1">
      <c r="A13" s="37" t="inlineStr">
        <is>
          <t>FIN-06</t>
        </is>
      </c>
      <c r="B13" s="38" t="inlineStr">
        <is>
          <t>CRM, Inventory &amp; documents</t>
        </is>
      </c>
      <c r="C13" s="39" t="inlineStr">
        <is>
          <t>A delivery is stock, not cost</t>
        </is>
      </c>
      <c r="D13" s="38" t="inlineStr">
        <is>
          <t>1. Open the Day Book and find the voucher for the storekeeper's delivery.</t>
        </is>
      </c>
      <c r="E13" s="38" t="inlineStr">
        <is>
          <t>The delivery increases inventory against goods received not invoiced. It is not a cost on any job until issued.</t>
        </is>
      </c>
      <c r="F13" s="40" t="inlineStr"/>
      <c r="G13" s="41" t="n"/>
      <c r="H13" s="41" t="n"/>
      <c r="I13" s="41" t="n"/>
      <c r="J13" s="41" t="n"/>
      <c r="K13" s="42" t="n"/>
    </row>
    <row r="14" ht="46.5" customHeight="1">
      <c r="A14" s="37" t="inlineStr">
        <is>
          <t>FIN-07</t>
        </is>
      </c>
      <c r="B14" s="38" t="inlineStr">
        <is>
          <t>Finance &amp; HR</t>
        </is>
      </c>
      <c r="C14" s="39" t="inlineStr">
        <is>
          <t>Reverse charge on a bill from abroad</t>
        </is>
      </c>
      <c r="D14" s="38" t="inlineStr">
        <is>
          <t>1. Enter a supplier bill for an overseas service with the Reverse charge treatment and issue it.</t>
        </is>
      </c>
      <c r="E14" s="38" t="inlineStr">
        <is>
          <t>VAT is posted on both sides and nets to nil, and appears in both halves of the VAT return.</t>
        </is>
      </c>
      <c r="F14" s="40" t="inlineStr"/>
      <c r="G14" s="41" t="n"/>
      <c r="H14" s="41" t="n"/>
      <c r="I14" s="41" t="n"/>
      <c r="J14" s="41" t="n"/>
      <c r="K14" s="42" t="n"/>
    </row>
    <row r="15" ht="46.5" customHeight="1">
      <c r="A15" s="37" t="inlineStr">
        <is>
          <t>FIN-08</t>
        </is>
      </c>
      <c r="B15" s="38" t="inlineStr">
        <is>
          <t>Finance &amp; HR</t>
        </is>
      </c>
      <c r="C15" s="39" t="inlineStr">
        <is>
          <t>Who owes us and how late</t>
        </is>
      </c>
      <c r="D15" s="38" t="inlineStr">
        <is>
          <t>1. Open Outstanding &amp; Ageing.</t>
        </is>
      </c>
      <c r="E15" s="38" t="inlineStr">
        <is>
          <t>Balances sit in not yet due, 1–30, 31–60, 61–90 and over 90 days, and agree to the customer's statement in Ledgers.</t>
        </is>
      </c>
      <c r="F15" s="40" t="inlineStr"/>
      <c r="G15" s="41" t="n"/>
      <c r="H15" s="41" t="n"/>
      <c r="I15" s="41" t="n"/>
      <c r="J15" s="41" t="n"/>
      <c r="K15" s="42" t="n"/>
    </row>
    <row r="16" ht="222" customHeight="1">
      <c r="A16" s="37" t="inlineStr">
        <is>
          <t>FIN-09</t>
        </is>
      </c>
      <c r="B16" s="38" t="inlineStr">
        <is>
          <t>Finance &amp; HR</t>
        </is>
      </c>
      <c r="C16" s="39" t="inlineStr">
        <is>
          <t>A PRO bill: against the order, split for VAT, charged to the right place</t>
        </is>
      </c>
      <c r="D16" s="38" t="inlineStr">
        <is>
          <t>1. If the PRO company is not in Customers &amp; Suppliers yet, add it there first — type Supplier, with its TRN and payment terms.
2. Open Invoices → New, side Purchase. Choose the PRO company.
3. Under “Against purchase order” choose the order from PRC-12.
4. Line 1: their own service fee, VAT treatment Standard, charged to the cost centre Administration &amp; HR.
5. Line 2: the government fees they paid on your behalf (MOHRE, ICP), VAT treatment Out of scope, same cost centre.
6. Save, then Issue it.
7. Open Finance → Cost Centres, then open the purchase order again.</t>
        </is>
      </c>
      <c r="E16" s="38" t="inlineStr">
        <is>
          <t>VAT is charged on the service fee only — 5% of that line, nothing on the government fees. The voucher debits the cost and credits the supplier, with both cost lines tagged to Administration &amp; HR. The Cost Centres report shows the total against Administration &amp; HR, and the purchase order now lists the bill under “Billed against this order”.</t>
        </is>
      </c>
      <c r="F16" s="40" t="inlineStr">
        <is>
          <t>Needs PRC-12. A line takes a job or a cost centre, never both.</t>
        </is>
      </c>
      <c r="G16" s="41" t="n"/>
      <c r="H16" s="41" t="n"/>
      <c r="I16" s="41" t="n"/>
      <c r="J16" s="41" t="n"/>
      <c r="K16" s="42" t="n"/>
    </row>
  </sheetData>
  <autoFilter ref="A7:K16"/>
  <mergeCells count="2">
    <mergeCell ref="A3:F3"/>
    <mergeCell ref="C4:D4"/>
  </mergeCells>
  <conditionalFormatting sqref="G8:G16">
    <cfRule type="expression" priority="1" dxfId="2">
      <formula>$G8="Pass"</formula>
    </cfRule>
    <cfRule type="expression" priority="2" dxfId="0">
      <formula>$G8="Fail"</formula>
    </cfRule>
    <cfRule type="expression" priority="3" dxfId="1">
      <formula>$G8="Blocked"</formula>
    </cfRule>
  </conditionalFormatting>
  <conditionalFormatting sqref="H8:I16">
    <cfRule type="expression" priority="4" dxfId="3">
      <formula>AND(OR($G8="Fail",$G8="Blocked"),H8="")</formula>
    </cfRule>
  </conditionalFormatting>
  <dataValidations count="3">
    <dataValidation sqref="G8:G16" showDropDown="0" showInputMessage="0" showErrorMessage="1" allowBlank="1" errorTitle="Result" error="Choose Pass, Fail, Blocked or Not run." type="list">
      <formula1>"Pass,Fail,Blocked,Not run"</formula1>
    </dataValidation>
    <dataValidation sqref="H8:H16" showDropDown="0" showInputMessage="0" showErrorMessage="1" allowBlank="1" errorTitle="Severity" error="Choose Critical, Major, Minor or Suggestion." type="list">
      <formula1>"Critical,Major,Minor,Suggestion"</formula1>
    </dataValidation>
    <dataValidation sqref="K8:K16"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Accounts&amp;RPage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14"/>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Finance Controller</t>
        </is>
      </c>
    </row>
    <row r="2">
      <c r="A2" s="29" t="inlineStr">
        <is>
          <t>Sign in as:</t>
        </is>
      </c>
      <c r="C2" s="30" t="inlineStr">
        <is>
          <t>Finance Controller</t>
        </is>
      </c>
    </row>
    <row r="3" ht="30" customHeight="1">
      <c r="A3" s="33" t="inlineStr">
        <is>
          <t>Owns the reports, the tax returns and the period lock.</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46.5" customHeight="1">
      <c r="A8" s="37" t="inlineStr">
        <is>
          <t>FC-01</t>
        </is>
      </c>
      <c r="B8" s="38" t="inlineStr">
        <is>
          <t>Finance &amp; HR</t>
        </is>
      </c>
      <c r="C8" s="39" t="inlineStr">
        <is>
          <t>The books balance</t>
        </is>
      </c>
      <c r="D8" s="38" t="inlineStr">
        <is>
          <t>1. Open Reports → Trial Balance for this year.</t>
        </is>
      </c>
      <c r="E8" s="38" t="inlineStr">
        <is>
          <t>Total debits equal total credits.</t>
        </is>
      </c>
      <c r="F8" s="40" t="inlineStr"/>
      <c r="G8" s="41" t="n"/>
      <c r="H8" s="41" t="n"/>
      <c r="I8" s="41" t="n"/>
      <c r="J8" s="41" t="n"/>
      <c r="K8" s="42" t="n"/>
    </row>
    <row r="9" ht="46.5" customHeight="1">
      <c r="A9" s="37" t="inlineStr">
        <is>
          <t>FC-02</t>
        </is>
      </c>
      <c r="B9" s="38" t="inlineStr">
        <is>
          <t>Finance &amp; HR</t>
        </is>
      </c>
      <c r="C9" s="39" t="inlineStr">
        <is>
          <t>VAT return agrees to the ledger</t>
        </is>
      </c>
      <c r="D9" s="38" t="inlineStr">
        <is>
          <t>1. Open Tax → VAT for the current quarter.</t>
        </is>
      </c>
      <c r="E9" s="38" t="inlineStr">
        <is>
          <t>Supplies and tax sit in the right boxes, and the return agrees to the two VAT control accounts, or the difference is shown.</t>
        </is>
      </c>
      <c r="F9" s="40" t="inlineStr"/>
      <c r="G9" s="41" t="n"/>
      <c r="H9" s="41" t="n"/>
      <c r="I9" s="41" t="n"/>
      <c r="J9" s="41" t="n"/>
      <c r="K9" s="42" t="n"/>
    </row>
    <row r="10" ht="60" customHeight="1">
      <c r="A10" s="37" t="inlineStr">
        <is>
          <t>FC-03</t>
        </is>
      </c>
      <c r="B10" s="38" t="inlineStr">
        <is>
          <t>Finance &amp; HR</t>
        </is>
      </c>
      <c r="C10" s="39" t="inlineStr">
        <is>
          <t>Lock a period</t>
        </is>
      </c>
      <c r="D10" s="38" t="inlineStr">
        <is>
          <t>1. Open Finance → Setup. Under Lock the books, choose the last day of a past month and click Lock.
2. Try to post a journal dated inside it.
3. Try to lock a date in the future.</t>
        </is>
      </c>
      <c r="E10" s="38" t="inlineStr">
        <is>
          <t>The back-dated entry is refused. A future date is refused too, because it would block today's own postings. The lock is recorded in the audit log.</t>
        </is>
      </c>
      <c r="F10" s="40" t="inlineStr"/>
      <c r="G10" s="41" t="n"/>
      <c r="H10" s="41" t="n"/>
      <c r="I10" s="41" t="n"/>
      <c r="J10" s="41" t="n"/>
      <c r="K10" s="42" t="n"/>
    </row>
    <row r="11" ht="60" customHeight="1">
      <c r="A11" s="37" t="inlineStr">
        <is>
          <t>FC-04</t>
        </is>
      </c>
      <c r="B11" s="38" t="inlineStr">
        <is>
          <t>Finance &amp; HR</t>
        </is>
      </c>
      <c r="C11" s="39" t="inlineStr">
        <is>
          <t>Cash flow forecast</t>
        </is>
      </c>
      <c r="D11" s="38" t="inlineStr">
        <is>
          <t>1. Open Cash Flow Forecast. Turn on Cautious view.</t>
        </is>
      </c>
      <c r="E11" s="38" t="inlineStr">
        <is>
          <t>Thirteen weeks from today, opening with the current bank balance, with payroll on payday. Cautious view removes uncertain money coming in and keeps every payment.</t>
        </is>
      </c>
      <c r="F11" s="40" t="inlineStr"/>
      <c r="G11" s="41" t="n"/>
      <c r="H11" s="41" t="n"/>
      <c r="I11" s="41" t="n"/>
      <c r="J11" s="41" t="n"/>
      <c r="K11" s="42" t="n"/>
    </row>
    <row r="12" ht="60" customHeight="1">
      <c r="A12" s="37" t="inlineStr">
        <is>
          <t>FC-05</t>
        </is>
      </c>
      <c r="B12" s="38" t="inlineStr">
        <is>
          <t>Finance &amp; HR</t>
        </is>
      </c>
      <c r="C12" s="39" t="inlineStr">
        <is>
          <t>Work in progress</t>
        </is>
      </c>
      <c r="D12" s="38" t="inlineStr">
        <is>
          <t>1. Open Job Costing → Work in Progress.</t>
        </is>
      </c>
      <c r="E12" s="38" t="inlineStr">
        <is>
          <t>Each contract shows how far through it is by cost against budget, and whether billing is ahead or behind. A job with no budget says “budget not set” rather than 0%.</t>
        </is>
      </c>
      <c r="F12" s="40" t="inlineStr"/>
      <c r="G12" s="41" t="n"/>
      <c r="H12" s="41" t="n"/>
      <c r="I12" s="41" t="n"/>
      <c r="J12" s="41" t="n"/>
      <c r="K12" s="42" t="n"/>
    </row>
    <row r="13" ht="87" customHeight="1">
      <c r="A13" s="37" t="inlineStr">
        <is>
          <t>FC-07</t>
        </is>
      </c>
      <c r="B13" s="38" t="inlineStr">
        <is>
          <t>Finance &amp; HR</t>
        </is>
      </c>
      <c r="C13" s="39" t="inlineStr">
        <is>
          <t>The finance dashboard agrees with the reports</t>
        </is>
      </c>
      <c r="D13" s="38" t="inlineStr">
        <is>
          <t>1. Click Finance &amp; Accounting in the menu. It opens on the Dashboard tab.
2. Note Income this year, Profit this year and Customers owe us.
3. Open Reports → Profit &amp; Loss for 1 January to today, then Outstanding &amp; Ageing.</t>
        </is>
      </c>
      <c r="E13" s="38" t="inlineStr">
        <is>
          <t>Income and profit on the dashboard equal the Profit &amp; Loss for the year to date. Customers owe us equals the receivables total on Outstanding &amp; Ageing. Each tile opens the screen its figure comes from.</t>
        </is>
      </c>
      <c r="F13" s="40" t="inlineStr"/>
      <c r="G13" s="41" t="n"/>
      <c r="H13" s="41" t="n"/>
      <c r="I13" s="41" t="n"/>
      <c r="J13" s="41" t="n"/>
      <c r="K13" s="42" t="n"/>
    </row>
    <row r="14" ht="60" customHeight="1">
      <c r="A14" s="37" t="inlineStr">
        <is>
          <t>FC-06</t>
        </is>
      </c>
      <c r="B14" s="38" t="inlineStr">
        <is>
          <t>Finance &amp; HR</t>
        </is>
      </c>
      <c r="C14" s="39" t="inlineStr">
        <is>
          <t>Approve the payroll run HR prepared</t>
        </is>
      </c>
      <c r="D14" s="38" t="inlineStr">
        <is>
          <t>1. Open HR → Payroll. Find the run HR prepared in HR-03 and check the totals.
2. Click Approve. Then Mark paid.</t>
        </is>
      </c>
      <c r="E14" s="38" t="inlineStr">
        <is>
          <t>The run is Approved, then Paid, and the wage cost is posted to the books. HR can prepare a run but not approve it, so the salary run is always checked by a second person.</t>
        </is>
      </c>
      <c r="F14" s="40" t="inlineStr">
        <is>
          <t>Needs HR-03.</t>
        </is>
      </c>
      <c r="G14" s="41" t="n"/>
      <c r="H14" s="41" t="n"/>
      <c r="I14" s="41" t="n"/>
      <c r="J14" s="41" t="n"/>
      <c r="K14" s="42" t="n"/>
    </row>
  </sheetData>
  <autoFilter ref="A7:K14"/>
  <mergeCells count="2">
    <mergeCell ref="A3:F3"/>
    <mergeCell ref="C4:D4"/>
  </mergeCells>
  <conditionalFormatting sqref="G8:G14">
    <cfRule type="expression" priority="1" dxfId="2">
      <formula>$G8="Pass"</formula>
    </cfRule>
    <cfRule type="expression" priority="2" dxfId="0">
      <formula>$G8="Fail"</formula>
    </cfRule>
    <cfRule type="expression" priority="3" dxfId="1">
      <formula>$G8="Blocked"</formula>
    </cfRule>
  </conditionalFormatting>
  <conditionalFormatting sqref="H8:I14">
    <cfRule type="expression" priority="4" dxfId="3">
      <formula>AND(OR($G8="Fail",$G8="Blocked"),H8="")</formula>
    </cfRule>
  </conditionalFormatting>
  <dataValidations count="3">
    <dataValidation sqref="G8:G14" showDropDown="0" showInputMessage="0" showErrorMessage="1" allowBlank="1" errorTitle="Result" error="Choose Pass, Fail, Blocked or Not run." type="list">
      <formula1>"Pass,Fail,Blocked,Not run"</formula1>
    </dataValidation>
    <dataValidation sqref="H8:H14" showDropDown="0" showInputMessage="0" showErrorMessage="1" allowBlank="1" errorTitle="Severity" error="Choose Critical, Major, Minor or Suggestion." type="list">
      <formula1>"Critical,Major,Minor,Suggestion"</formula1>
    </dataValidation>
    <dataValidation sqref="K8:K14"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Finance Controller&amp;RPage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K17"/>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HR</t>
        </is>
      </c>
    </row>
    <row r="2">
      <c r="A2" s="29" t="inlineStr">
        <is>
          <t>Sign in as:</t>
        </is>
      </c>
      <c r="C2" s="30" t="inlineStr">
        <is>
          <t>HR Officer</t>
        </is>
      </c>
    </row>
    <row r="3" ht="30" customHeight="1">
      <c r="A3" s="33" t="inlineStr">
        <is>
          <t>Employees, attendance, leave, payroll and payslips, and the final settlement when someone leaves. Prepares the payroll run; the Finance Controller approves it.</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46.5" customHeight="1">
      <c r="A8" s="37" t="inlineStr">
        <is>
          <t>HR-01</t>
        </is>
      </c>
      <c r="B8" s="38" t="inlineStr">
        <is>
          <t>Finance &amp; HR</t>
        </is>
      </c>
      <c r="C8" s="39" t="inlineStr">
        <is>
          <t>Refuse a duplicate person</t>
        </is>
      </c>
      <c r="D8" s="38" t="inlineStr">
        <is>
          <t>1. Add an employee with an Emirates ID already on another employee's record.</t>
        </is>
      </c>
      <c r="E8" s="38" t="inlineStr">
        <is>
          <t>Refused, naming the existing record.</t>
        </is>
      </c>
      <c r="F8" s="40" t="inlineStr"/>
      <c r="G8" s="41" t="n"/>
      <c r="H8" s="41" t="n"/>
      <c r="I8" s="41" t="n"/>
      <c r="J8" s="41" t="n"/>
      <c r="K8" s="42" t="n"/>
    </row>
    <row r="9" ht="46.5" customHeight="1">
      <c r="A9" s="37" t="inlineStr">
        <is>
          <t>HR-02</t>
        </is>
      </c>
      <c r="B9" s="38" t="inlineStr">
        <is>
          <t>Finance &amp; HR</t>
        </is>
      </c>
      <c r="C9" s="39" t="inlineStr">
        <is>
          <t>Attendance against a job</t>
        </is>
      </c>
      <c r="D9" s="38" t="inlineStr">
        <is>
          <t>1. Record a day's attendance with in and out times against a job for an employee.</t>
        </is>
      </c>
      <c r="E9" s="38" t="inlineStr">
        <is>
          <t>The hours are saved and available to job costing.</t>
        </is>
      </c>
      <c r="F9" s="40" t="inlineStr"/>
      <c r="G9" s="41" t="n"/>
      <c r="H9" s="41" t="n"/>
      <c r="I9" s="41" t="n"/>
      <c r="J9" s="41" t="n"/>
      <c r="K9" s="42" t="n"/>
    </row>
    <row r="10" ht="46.5" customHeight="1">
      <c r="A10" s="37" t="inlineStr">
        <is>
          <t>HR-03</t>
        </is>
      </c>
      <c r="B10" s="38" t="inlineStr">
        <is>
          <t>Finance &amp; HR</t>
        </is>
      </c>
      <c r="C10" s="39" t="inlineStr">
        <is>
          <t>Run payroll</t>
        </is>
      </c>
      <c r="D10" s="38" t="inlineStr">
        <is>
          <t>1. Open Payroll and run the month.</t>
        </is>
      </c>
      <c r="E10" s="38" t="inlineStr">
        <is>
          <t>Every employee has basic, allowances, overtime, deductions and net pay. Anyone missing a salary or bank details is held back and named.</t>
        </is>
      </c>
      <c r="F10" s="40" t="inlineStr"/>
      <c r="G10" s="41" t="n"/>
      <c r="H10" s="41" t="n"/>
      <c r="I10" s="41" t="n"/>
      <c r="J10" s="41" t="n"/>
      <c r="K10" s="42" t="n"/>
    </row>
    <row r="11" ht="114" customHeight="1">
      <c r="A11" s="37" t="inlineStr">
        <is>
          <t>HR-04</t>
        </is>
      </c>
      <c r="B11" s="38" t="inlineStr">
        <is>
          <t>CRM, Inventory &amp; documents</t>
        </is>
      </c>
      <c r="C11" s="39" t="inlineStr">
        <is>
          <t>Print payslips for the whole run</t>
        </is>
      </c>
      <c r="D11" s="38" t="inlineStr">
        <is>
          <t>1. On the draft run, click Print → all payslips.
2. Look for an Approve button on the run.
3. After the Finance Controller has approved it (FC-06), print again.</t>
        </is>
      </c>
      <c r="E11" s="38" t="inlineStr">
        <is>
          <t>The draft prints with DRAFT on every page. There is no Approve button for HR — the run shows “Waiting for the Finance Controller to approve”. After approval there is no mark. Each employee is on a page of their own with earnings, deductions, net pay in words, and the bank shown as the bank name and the last four characters of the account only.</t>
        </is>
      </c>
      <c r="F11" s="40" t="inlineStr">
        <is>
          <t>FC-06 approves the run.</t>
        </is>
      </c>
      <c r="G11" s="41" t="n"/>
      <c r="H11" s="41" t="n"/>
      <c r="I11" s="41" t="n"/>
      <c r="J11" s="41" t="n"/>
      <c r="K11" s="42" t="n"/>
    </row>
    <row r="12" ht="46.5" customHeight="1">
      <c r="A12" s="37" t="inlineStr">
        <is>
          <t>HR-05</t>
        </is>
      </c>
      <c r="B12" s="38" t="inlineStr">
        <is>
          <t>CRM, Inventory &amp; documents</t>
        </is>
      </c>
      <c r="C12" s="39" t="inlineStr">
        <is>
          <t>Print one employee's payslip</t>
        </is>
      </c>
      <c r="D12" s="38" t="inlineStr">
        <is>
          <t>1. Click Payslip on one employee's row, ideally someone who joined part-way through the month.</t>
        </is>
      </c>
      <c r="E12" s="38" t="inlineStr">
        <is>
          <t>One page for that employee. A part month shows the days behind the figure, e.g. “12 of 30 days on 3,000.00”.</t>
        </is>
      </c>
      <c r="F12" s="40" t="inlineStr"/>
      <c r="G12" s="41" t="n"/>
      <c r="H12" s="41" t="n"/>
      <c r="I12" s="41" t="n"/>
      <c r="J12" s="41" t="n"/>
      <c r="K12" s="42" t="n"/>
    </row>
    <row r="13" ht="46.5" customHeight="1">
      <c r="A13" s="37" t="inlineStr">
        <is>
          <t>HR-06</t>
        </is>
      </c>
      <c r="B13" s="38" t="inlineStr">
        <is>
          <t>Finance &amp; HR</t>
        </is>
      </c>
      <c r="C13" s="39" t="inlineStr">
        <is>
          <t>Payroll reaches the accounts</t>
        </is>
      </c>
      <c r="D13" s="38" t="inlineStr">
        <is>
          <t>1. After the Finance Controller approves the run and marks it paid, ask Accounts to find the payroll voucher in the Day Book.</t>
        </is>
      </c>
      <c r="E13" s="38" t="inlineStr">
        <is>
          <t>The wage cost is posted without anyone typing a journal.</t>
        </is>
      </c>
      <c r="F13" s="40" t="inlineStr"/>
      <c r="G13" s="41" t="n"/>
      <c r="H13" s="41" t="n"/>
      <c r="I13" s="41" t="n"/>
      <c r="J13" s="41" t="n"/>
      <c r="K13" s="42" t="n"/>
    </row>
    <row r="14" ht="46.5" customHeight="1">
      <c r="A14" s="37" t="inlineStr">
        <is>
          <t>HR-07</t>
        </is>
      </c>
      <c r="B14" s="38" t="inlineStr">
        <is>
          <t>Finance &amp; HR</t>
        </is>
      </c>
      <c r="C14" s="39" t="inlineStr">
        <is>
          <t>WPS file for the bank</t>
        </is>
      </c>
      <c r="D14" s="38" t="inlineStr">
        <is>
          <t>1. Generate the WPS file for the approved run.</t>
        </is>
      </c>
      <c r="E14" s="38" t="inlineStr">
        <is>
          <t>The IBAN, MOL Person ID and routing code are checked first, and anyone who would make the bank reject the file is named.</t>
        </is>
      </c>
      <c r="F14" s="40" t="inlineStr"/>
      <c r="G14" s="41" t="n"/>
      <c r="H14" s="41" t="n"/>
      <c r="I14" s="41" t="n"/>
      <c r="J14" s="41" t="n"/>
      <c r="K14" s="42" t="n"/>
    </row>
    <row r="15" ht="73.5" customHeight="1">
      <c r="A15" s="37" t="inlineStr">
        <is>
          <t>HR-08</t>
        </is>
      </c>
      <c r="B15" s="38" t="inlineStr">
        <is>
          <t>CRM, Inventory &amp; documents</t>
        </is>
      </c>
      <c r="C15" s="39" t="inlineStr">
        <is>
          <t>Final settlement statement</t>
        </is>
      </c>
      <c r="D15" s="38" t="inlineStr">
        <is>
          <t>1. Open Separation, record a resignation for an employee with over five years' service.
2. Click Statement while it is Draft, then approve it and click Statement again.</t>
        </is>
      </c>
      <c r="E15" s="38" t="inlineStr">
        <is>
          <t>Gratuity is 21 days' basic a year for the first five years and 30 days after, capped at two years' pay. The draft PDF says DRAFT; the approved one does not. It carries the employee's declaration and signature boxes.</t>
        </is>
      </c>
      <c r="F15" s="40" t="inlineStr"/>
      <c r="G15" s="41" t="n"/>
      <c r="H15" s="41" t="n"/>
      <c r="I15" s="41" t="n"/>
      <c r="J15" s="41" t="n"/>
      <c r="K15" s="42" t="n"/>
    </row>
    <row r="16" ht="46.5" customHeight="1">
      <c r="A16" s="37" t="inlineStr">
        <is>
          <t>HR-09</t>
        </is>
      </c>
      <c r="B16" s="38" t="inlineStr">
        <is>
          <t>Finance &amp; HR</t>
        </is>
      </c>
      <c r="C16" s="39" t="inlineStr">
        <is>
          <t>Document expiry warnings</t>
        </is>
      </c>
      <c r="D16" s="38" t="inlineStr">
        <is>
          <t>1. Open Compliance &amp; Expiry.</t>
        </is>
      </c>
      <c r="E16" s="38" t="inlineStr">
        <is>
          <t>Visas, Emirates IDs, passports and labour cards due to expire are listed before they lapse.</t>
        </is>
      </c>
      <c r="F16" s="40" t="inlineStr"/>
      <c r="G16" s="41" t="n"/>
      <c r="H16" s="41" t="n"/>
      <c r="I16" s="41" t="n"/>
      <c r="J16" s="41" t="n"/>
      <c r="K16" s="42" t="n"/>
    </row>
    <row r="17" ht="100.5" customHeight="1">
      <c r="A17" s="37" t="inlineStr">
        <is>
          <t>HR-10</t>
        </is>
      </c>
      <c r="B17" s="38" t="inlineStr">
        <is>
          <t>Finance &amp; HR</t>
        </is>
      </c>
      <c r="C17" s="39" t="inlineStr">
        <is>
          <t>The HR dashboard: today, and what is waiting</t>
        </is>
      </c>
      <c r="D17" s="38" t="inlineStr">
        <is>
          <t>1. Click HR &amp; Admin in the menu. It opens on the Dashboard tab.
2. Mark today's attendance for two people, then come back to the dashboard.
3. Raise a leave request for someone and come back again.</t>
        </is>
      </c>
      <c r="E17" s="38" t="inlineStr">
        <is>
          <t>Present today goes up by the two you marked, and Not yet marked goes down. Leave to decide counts the new request and lists it with its start date. Documents lapsing lists visas, Emirates IDs, labour cards and passports expiring within 60 days. No salary or pay figure appears anywhere on the dashboard.</t>
        </is>
      </c>
      <c r="F17" s="40" t="inlineStr"/>
      <c r="G17" s="41" t="n"/>
      <c r="H17" s="41" t="n"/>
      <c r="I17" s="41" t="n"/>
      <c r="J17" s="41" t="n"/>
      <c r="K17" s="42" t="n"/>
    </row>
  </sheetData>
  <autoFilter ref="A7:K17"/>
  <mergeCells count="2">
    <mergeCell ref="A3:F3"/>
    <mergeCell ref="C4:D4"/>
  </mergeCells>
  <conditionalFormatting sqref="G8:G17">
    <cfRule type="expression" priority="1" dxfId="2">
      <formula>$G8="Pass"</formula>
    </cfRule>
    <cfRule type="expression" priority="2" dxfId="0">
      <formula>$G8="Fail"</formula>
    </cfRule>
    <cfRule type="expression" priority="3" dxfId="1">
      <formula>$G8="Blocked"</formula>
    </cfRule>
  </conditionalFormatting>
  <conditionalFormatting sqref="H8:I17">
    <cfRule type="expression" priority="4" dxfId="3">
      <formula>AND(OR($G8="Fail",$G8="Blocked"),H8="")</formula>
    </cfRule>
  </conditionalFormatting>
  <dataValidations count="3">
    <dataValidation sqref="G8:G17" showDropDown="0" showInputMessage="0" showErrorMessage="1" allowBlank="1" errorTitle="Result" error="Choose Pass, Fail, Blocked or Not run." type="list">
      <formula1>"Pass,Fail,Blocked,Not run"</formula1>
    </dataValidation>
    <dataValidation sqref="H8:H17" showDropDown="0" showInputMessage="0" showErrorMessage="1" allowBlank="1" errorTitle="Severity" error="Choose Critical, Major, Minor or Suggestion." type="list">
      <formula1>"Critical,Major,Minor,Suggestion"</formula1>
    </dataValidation>
    <dataValidation sqref="K8:K17"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HR&amp;RPage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K9"/>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8" customWidth="1" min="3" max="3"/>
    <col width="52" customWidth="1" min="4" max="4"/>
    <col width="48" customWidth="1" min="5" max="5"/>
    <col width="20" customWidth="1" min="6" max="6"/>
    <col width="11" customWidth="1" min="7" max="7"/>
    <col width="12" customWidth="1" min="8" max="8"/>
    <col width="40" customWidth="1" min="9" max="9"/>
    <col width="16" customWidth="1" min="10" max="10"/>
    <col width="12" customWidth="1" min="11" max="11"/>
  </cols>
  <sheetData>
    <row r="1">
      <c r="A1" s="32" t="inlineStr">
        <is>
          <t>Site Timekeeper</t>
        </is>
      </c>
    </row>
    <row r="2">
      <c r="A2" s="29" t="inlineStr">
        <is>
          <t>Sign in as:</t>
        </is>
      </c>
      <c r="C2" s="30" t="inlineStr">
        <is>
          <t>Site Timekeeper</t>
        </is>
      </c>
    </row>
    <row r="3" ht="30" customHeight="1">
      <c r="A3" s="33" t="inlineStr">
        <is>
          <t>Records the daily muster on site and the hours against each job — and can see nothing else.</t>
        </is>
      </c>
    </row>
    <row r="4">
      <c r="A4" s="29" t="inlineStr">
        <is>
          <t>Tester:</t>
        </is>
      </c>
      <c r="C4" s="34" t="n"/>
      <c r="E4" s="31" t="inlineStr">
        <is>
          <t>Yellow cells are yours to fill in. Result and Severity have drop-down lists.</t>
        </is>
      </c>
    </row>
    <row r="5">
      <c r="A5" s="35" t="inlineStr">
        <is>
          <t>← Back to Summary</t>
        </is>
      </c>
    </row>
    <row r="7" ht="20" customHeight="1">
      <c r="A7" s="36" t="inlineStr">
        <is>
          <t>Check</t>
        </is>
      </c>
      <c r="B7" s="36" t="inlineStr">
        <is>
          <t>Area</t>
        </is>
      </c>
      <c r="C7" s="36" t="inlineStr">
        <is>
          <t>Title</t>
        </is>
      </c>
      <c r="D7" s="36" t="inlineStr">
        <is>
          <t>Steps</t>
        </is>
      </c>
      <c r="E7" s="36" t="inlineStr">
        <is>
          <t>Expected result</t>
        </is>
      </c>
      <c r="F7" s="36" t="inlineStr">
        <is>
          <t>Depends on</t>
        </is>
      </c>
      <c r="G7" s="36" t="inlineStr">
        <is>
          <t>Result</t>
        </is>
      </c>
      <c r="H7" s="36" t="inlineStr">
        <is>
          <t>Severity</t>
        </is>
      </c>
      <c r="I7" s="36" t="inlineStr">
        <is>
          <t>What actually happened</t>
        </is>
      </c>
      <c r="J7" s="36" t="inlineStr">
        <is>
          <t>Tested by</t>
        </is>
      </c>
      <c r="K7" s="36" t="inlineStr">
        <is>
          <t>Date</t>
        </is>
      </c>
    </row>
    <row r="8" ht="60" customHeight="1">
      <c r="A8" s="37" t="inlineStr">
        <is>
          <t>TK-01</t>
        </is>
      </c>
      <c r="B8" s="38" t="inlineStr">
        <is>
          <t>Finance &amp; HR</t>
        </is>
      </c>
      <c r="C8" s="39" t="inlineStr">
        <is>
          <t>Record the day's muster</t>
        </is>
      </c>
      <c r="D8" s="38" t="inlineStr">
        <is>
          <t>1. Open HR → Attendance &amp; Muster.
2. Mark today's attendance for three workers — present, absent, half-day — with in and out times and the job each worked on. Save.</t>
        </is>
      </c>
      <c r="E8" s="38" t="inlineStr">
        <is>
          <t>The muster is saved and the hours sit against each job, ready for job costing.</t>
        </is>
      </c>
      <c r="F8" s="40" t="inlineStr"/>
      <c r="G8" s="41" t="n"/>
      <c r="H8" s="41" t="n"/>
      <c r="I8" s="41" t="n"/>
      <c r="J8" s="41" t="n"/>
      <c r="K8" s="42" t="n"/>
    </row>
    <row r="9" ht="100.5" customHeight="1">
      <c r="A9" s="37" t="inlineStr">
        <is>
          <t>TK-02</t>
        </is>
      </c>
      <c r="B9" s="38" t="inlineStr">
        <is>
          <t>Finance &amp; HR</t>
        </is>
      </c>
      <c r="C9" s="39" t="inlineStr">
        <is>
          <t>Only attendance, nothing else</t>
        </is>
      </c>
      <c r="D9" s="38" t="inlineStr">
        <is>
          <t>1. Look at the menu.
2. Type /hr/payroll at the end of the address and press Enter. Then try /hr and /finance.</t>
        </is>
      </c>
      <c r="E9" s="38" t="inlineStr">
        <is>
          <t>The menu shows only the Dashboard and HR &amp; Admin. HR &amp; Admin opens an HR dashboard showing only today's muster, with Attendance &amp; Muster as the one other tab. Every other address returns you to the dashboard — no salaries, payroll, employee profiles or finance screens are shown.</t>
        </is>
      </c>
      <c r="F9" s="40" t="inlineStr"/>
      <c r="G9" s="41" t="n"/>
      <c r="H9" s="41" t="n"/>
      <c r="I9" s="41" t="n"/>
      <c r="J9" s="41" t="n"/>
      <c r="K9" s="42" t="n"/>
    </row>
  </sheetData>
  <autoFilter ref="A7:K9"/>
  <mergeCells count="2">
    <mergeCell ref="A3:F3"/>
    <mergeCell ref="C4:D4"/>
  </mergeCells>
  <conditionalFormatting sqref="G8:G9">
    <cfRule type="expression" priority="1" dxfId="2">
      <formula>$G8="Pass"</formula>
    </cfRule>
    <cfRule type="expression" priority="2" dxfId="0">
      <formula>$G8="Fail"</formula>
    </cfRule>
    <cfRule type="expression" priority="3" dxfId="1">
      <formula>$G8="Blocked"</formula>
    </cfRule>
  </conditionalFormatting>
  <conditionalFormatting sqref="H8:I9">
    <cfRule type="expression" priority="4" dxfId="3">
      <formula>AND(OR($G8="Fail",$G8="Blocked"),H8="")</formula>
    </cfRule>
  </conditionalFormatting>
  <dataValidations count="3">
    <dataValidation sqref="G8:G9" showDropDown="0" showInputMessage="0" showErrorMessage="1" allowBlank="1" errorTitle="Result" error="Choose Pass, Fail, Blocked or Not run." type="list">
      <formula1>"Pass,Fail,Blocked,Not run"</formula1>
    </dataValidation>
    <dataValidation sqref="H8:H9" showDropDown="0" showInputMessage="0" showErrorMessage="1" allowBlank="1" errorTitle="Severity" error="Choose Critical, Major, Minor or Suggestion." type="list">
      <formula1>"Critical,Major,Minor,Suggestion"</formula1>
    </dataValidation>
    <dataValidation sqref="K8:K9" showDropDown="0" showInputMessage="0" showErrorMessage="1" allowBlank="1" errorTitle="Date" error="Enter the date as dd/mm/yyyy." type="date" operator="greaterThan">
      <formula1>DATE(2026,1,1)</formula1>
    </dataValidation>
  </dataValidations>
  <hyperlinks>
    <hyperlink ref="A5" location="'Summary'!A1" display="← Back to Summary"/>
  </hyperlinks>
  <pageMargins left="0.75" right="0.75" top="1" bottom="1" header="0.5" footer="0.5"/>
  <pageSetup orientation="landscape" paperSize="9" fitToHeight="0" fitToWidth="1"/>
  <headerFooter>
    <oddHeader/>
    <oddFooter>&amp;LWB Group ERP Acceptance Scripts · Site Timekeeper&amp;RPage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White &amp; Bright Group</dc:creator>
  <dc:title>WB Group ERP Acceptance Scripts</dc:title>
  <dcterms:created xsi:type="dcterms:W3CDTF">2026-09-24T11:15:06Z</dcterms:created>
  <dcterms:modified xsi:type="dcterms:W3CDTF">2026-09-24T11:15:06Z</dcterms:modified>
</cp:coreProperties>
</file>